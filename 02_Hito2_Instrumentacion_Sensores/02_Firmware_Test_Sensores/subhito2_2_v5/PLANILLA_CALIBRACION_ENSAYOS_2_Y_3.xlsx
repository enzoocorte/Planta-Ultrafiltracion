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ntigravity\Antigravity IDE\PROYECTOS\Tesis\Planta-Ultrafiltracion\02_Hito2_Instrumentacion_Sensores\02_Firmware_Test_Sensores\subhito2_2_v4\"/>
    </mc:Choice>
  </mc:AlternateContent>
  <bookViews>
    <workbookView xWindow="-105" yWindow="-105" windowWidth="19425" windowHeight="10425" activeTab="1"/>
  </bookViews>
  <sheets>
    <sheet name="Ensayo 2 - Bomba (mL-rev)" sheetId="1" r:id="rId1"/>
    <sheet name="Ensayo 3 - Caudal Alimentacion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C23" i="1"/>
  <c r="J19" i="2" l="1"/>
  <c r="F19" i="2"/>
  <c r="J18" i="2"/>
  <c r="F18" i="2"/>
  <c r="J17" i="2"/>
  <c r="F17" i="2"/>
  <c r="J16" i="2"/>
  <c r="F16" i="2"/>
  <c r="J15" i="2"/>
  <c r="F15" i="2"/>
  <c r="J14" i="2"/>
  <c r="F14" i="2"/>
  <c r="J13" i="2"/>
  <c r="F13" i="2"/>
  <c r="J12" i="2"/>
  <c r="F12" i="2"/>
  <c r="G12" i="2" s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E12" i="1"/>
  <c r="C23" i="2"/>
  <c r="C24" i="1" l="1"/>
  <c r="K12" i="2"/>
  <c r="L12" i="2" s="1"/>
  <c r="K19" i="2"/>
  <c r="L19" i="2" s="1"/>
  <c r="G19" i="2"/>
  <c r="H19" i="2" s="1"/>
  <c r="I19" i="2" s="1"/>
  <c r="G18" i="2"/>
  <c r="H18" i="2" s="1"/>
  <c r="I18" i="2" s="1"/>
  <c r="K18" i="2"/>
  <c r="L18" i="2" s="1"/>
  <c r="G17" i="2"/>
  <c r="H17" i="2" s="1"/>
  <c r="I17" i="2" s="1"/>
  <c r="K17" i="2"/>
  <c r="L17" i="2" s="1"/>
  <c r="G16" i="2"/>
  <c r="H16" i="2" s="1"/>
  <c r="I16" i="2" s="1"/>
  <c r="K16" i="2"/>
  <c r="L16" i="2" s="1"/>
  <c r="G15" i="2"/>
  <c r="H15" i="2" s="1"/>
  <c r="I15" i="2" s="1"/>
  <c r="K15" i="2"/>
  <c r="L15" i="2" s="1"/>
  <c r="G14" i="2"/>
  <c r="H14" i="2" s="1"/>
  <c r="I14" i="2" s="1"/>
  <c r="K14" i="2"/>
  <c r="L14" i="2" s="1"/>
  <c r="K13" i="2"/>
  <c r="L13" i="2" s="1"/>
  <c r="G13" i="2"/>
  <c r="H12" i="2"/>
  <c r="F19" i="1"/>
  <c r="G19" i="1"/>
  <c r="I19" i="1" s="1"/>
  <c r="J19" i="1" s="1"/>
  <c r="F18" i="1"/>
  <c r="G18" i="1"/>
  <c r="I18" i="1" s="1"/>
  <c r="J18" i="1"/>
  <c r="F17" i="1"/>
  <c r="G17" i="1"/>
  <c r="I17" i="1" s="1"/>
  <c r="J17" i="1" s="1"/>
  <c r="F16" i="1"/>
  <c r="G16" i="1"/>
  <c r="I16" i="1" s="1"/>
  <c r="J16" i="1" s="1"/>
  <c r="G15" i="1"/>
  <c r="I15" i="1" s="1"/>
  <c r="J15" i="1"/>
  <c r="F15" i="1"/>
  <c r="F14" i="1"/>
  <c r="G14" i="1"/>
  <c r="I14" i="1" s="1"/>
  <c r="J14" i="1" s="1"/>
  <c r="G13" i="1"/>
  <c r="I13" i="1" s="1"/>
  <c r="J13" i="1"/>
  <c r="F13" i="1"/>
  <c r="G12" i="1"/>
  <c r="F12" i="1"/>
  <c r="C25" i="1"/>
  <c r="F30" i="1" s="1"/>
  <c r="C26" i="1"/>
  <c r="C27" i="1"/>
  <c r="C26" i="2" l="1"/>
  <c r="E31" i="2" s="1"/>
  <c r="E32" i="2" s="1"/>
  <c r="C28" i="2"/>
  <c r="I12" i="2"/>
  <c r="I12" i="1"/>
  <c r="J12" i="1" s="1"/>
  <c r="C22" i="1"/>
  <c r="H13" i="2"/>
  <c r="I13" i="2" s="1"/>
  <c r="C27" i="2"/>
  <c r="C22" i="2" l="1"/>
  <c r="C24" i="2" s="1"/>
  <c r="C25" i="2"/>
</calcChain>
</file>

<file path=xl/sharedStrings.xml><?xml version="1.0" encoding="utf-8"?>
<sst xmlns="http://schemas.openxmlformats.org/spreadsheetml/2006/main" count="97" uniqueCount="81">
  <si>
    <t>PLANTA PILOTO DE ULTRAFILTRACIÓN FX100 — UNIVERSIDAD NACIONAL DE SALTA</t>
  </si>
  <si>
    <t>ENSAYO 2: CALIBRACIÓN CINEMÁTICA Y VOLUMÉTRICA DE LA BOMBA PERISTÁLTICA MBP-2000</t>
  </si>
  <si>
    <t>Determinación Experimental del Desplazamiento por Revolución (Cilindrada en mL/rev) mediante Probeta de 1000 mL</t>
  </si>
  <si>
    <t>Instrumento:</t>
  </si>
  <si>
    <t>Probeta Graduada de 1000 mL</t>
  </si>
  <si>
    <t>Manguera:</t>
  </si>
  <si>
    <t>Silicona Flexible APM (Øint 12 mm, Øext 18 mm)</t>
  </si>
  <si>
    <t>Fluido de Ensayo:</t>
  </si>
  <si>
    <t>Agua Desionizada / Limpia a 20 °C</t>
  </si>
  <si>
    <t>Cabezal:</t>
  </si>
  <si>
    <t>MBP-2000 (Rotor 3 rodillos a 120°)</t>
  </si>
  <si>
    <t>Driver Motor:</t>
  </si>
  <si>
    <t>Leadshine DM860 (3200 pulsos/rev - 1/16 micropasos)</t>
  </si>
  <si>
    <t>Motor:</t>
  </si>
  <si>
    <t>Paso a Paso NEMA 34 (4.0 N·m)</t>
  </si>
  <si>
    <t>Operadores:</t>
  </si>
  <si>
    <t>Owen Cañizares / Antonella Guitián / Enzo</t>
  </si>
  <si>
    <t>Ubicación:</t>
  </si>
  <si>
    <t>Laboratorio de Operaciones Unitarias - UNSa</t>
  </si>
  <si>
    <t>NOTA OPERATIVA: Ingrese los datos en las celdas amarillas (D y E). Para RPM &lt;= 70 use tiempo de 1.0 min (entra en probeta 1000 mL). Para RPM &gt;= 80 use 0.5 min para evitar desborde.</t>
  </si>
  <si>
    <t>Corrida
#</t>
  </si>
  <si>
    <t>Consigna
Bomba [RPM]</t>
  </si>
  <si>
    <t>Tiempo
Ensayo [min]</t>
  </si>
  <si>
    <t>Volumen en
Probeta [mL]</t>
  </si>
  <si>
    <t>Caudal Medido
Q [mL/min]</t>
  </si>
  <si>
    <t>Caudal Medido
Q [L/min]</t>
  </si>
  <si>
    <t>Cilindrada
[mL/rev]</t>
  </si>
  <si>
    <t>Caudal Nominal
Previo [mL/min]</t>
  </si>
  <si>
    <t>Desviación vs
13.60 mL/rev [%]</t>
  </si>
  <si>
    <t>Estado /
Linealidad</t>
  </si>
  <si>
    <t>RESUMEN ESTADÍSTICO Y REGRESIÓN LINEAL (CAUDAL vs RPM)</t>
  </si>
  <si>
    <t>Cilindrada Media (Promedio Aritmético):</t>
  </si>
  <si>
    <t>mL/rev</t>
  </si>
  <si>
    <t>Desviación Estándar Muestral (σ):</t>
  </si>
  <si>
    <t>Coeficiente de Variación (CV%):</t>
  </si>
  <si>
    <t>%</t>
  </si>
  <si>
    <t>Pendiente de Regresión Q vs RPM (Cilindrada):</t>
  </si>
  <si>
    <t>Ordenada al Origen de Regresión (b):</t>
  </si>
  <si>
    <t>mL/min</t>
  </si>
  <si>
    <t>Coeficiente de Determinación (R²):</t>
  </si>
  <si>
    <t>-</t>
  </si>
  <si>
    <t>PARÁMETRO DEFINITIVO PARA EL FIRMWARE / SCADA</t>
  </si>
  <si>
    <t>Cilindrada Calibrada Bomba (ML_POR_VUELTA):</t>
  </si>
  <si>
    <t>Ubicación en código: config.h -&gt; constexpr float ML_POR_VUELTA | En Web: Modo Desarrollador -&gt; Cilindrada Bomba</t>
  </si>
  <si>
    <t>ENSAYO 3: CALIBRACIÓN DEL CAUDALÍMETRO DE ALIMENTACIÓN YF-S401 (BORNE 12 / GPIO 14)</t>
  </si>
  <si>
    <t>Determinación Experimental de la Constante de Transducción K en [Hz / (L/min)] y Pulsos por Litro mediante Probeta</t>
  </si>
  <si>
    <t>Sensor:</t>
  </si>
  <si>
    <t>Efecto Hall YF-S401 (Impulsión / Alimentación)</t>
  </si>
  <si>
    <t>Pin ESP32:</t>
  </si>
  <si>
    <t>GPIO 14 (Borne 12 Superior)</t>
  </si>
  <si>
    <t>Front-End:</t>
  </si>
  <si>
    <t>Filtro RC analógico (fc ≈ 338 Hz) + Blanking 1500 µs</t>
  </si>
  <si>
    <t>Probeta:</t>
  </si>
  <si>
    <t>Graduada de 1000 mL</t>
  </si>
  <si>
    <t>K Nominal Fabricante:</t>
  </si>
  <si>
    <t>98.00 Hz / (L/min) (5880.0 pulsos/L)</t>
  </si>
  <si>
    <t>K Previo Owen:</t>
  </si>
  <si>
    <t>154.62 Hz / (L/min) (9277.2 pulsos/L)</t>
  </si>
  <si>
    <t>Algoritmo:</t>
  </si>
  <si>
    <t>Período Recíproco con micros() en IRAM</t>
  </si>
  <si>
    <t>NOTA METROLÓGICA: Ingrese en celdas amarillas (C y E) la Frecuencia promedio leída en el SCADA y el Volumen en probeta. Para RPM &gt;= 80 use 0.5 min para no desbordar 1000 mL.</t>
  </si>
  <si>
    <t>Frecuencia
SCADA [Hz]</t>
  </si>
  <si>
    <t>Factor K Puntual
[Hz / (L/min)]</t>
  </si>
  <si>
    <t>Pulsos por
Litro [pul/L]</t>
  </si>
  <si>
    <t>Q Estimado con
K=154.62 [mL/min]</t>
  </si>
  <si>
    <t>Desviación vs
K Previo [%]</t>
  </si>
  <si>
    <t>Calidad /
Linealidad</t>
  </si>
  <si>
    <t>RESUMEN METROLÓGICO Y REGRESIÓN LINEAL (FRECUENCIA vs CAUDAL)</t>
  </si>
  <si>
    <t>Factor K Promedio (Media Aritmética):</t>
  </si>
  <si>
    <t>Hz / (L/min)</t>
  </si>
  <si>
    <t>Desviación Estándar de K (σ):</t>
  </si>
  <si>
    <t>Coeficiente de Variación de K (CV%):</t>
  </si>
  <si>
    <t>Pulsos por Litro Promedio:</t>
  </si>
  <si>
    <t>pulsos/Litro</t>
  </si>
  <si>
    <t>Factor K por Regresión Lineal (Pendiente F vs Q [L/min]):</t>
  </si>
  <si>
    <t>Ordenada al Origen de Regresión (Offset):</t>
  </si>
  <si>
    <t>Hz</t>
  </si>
  <si>
    <t>PARÁMETROS DEFINITIVOS DE CALIBRACIÓN PARA EL FIRMWARE / SCADA</t>
  </si>
  <si>
    <t>Factor K Alimentación (K_ALIMENTACION):</t>
  </si>
  <si>
    <t>Equivalencia en Pulsos por Litro:</t>
  </si>
  <si>
    <t>Ubicación en código: config.h -&gt; constexpr float K_ALIMENTACION | En Web: Modo Desarrollador -&gt; Factor K 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</si>
</sst>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0.000"/>
    <numFmt numFmtId="166" formatCode="0.0000"/>
    <numFmt numFmtId="167" formatCode="\+0.00%;\-0.00%;0.00%"/>
    <numFmt numFmtId="168" formatCode="0.0000&quot; mL/rev&quot;"/>
    <numFmt numFmtId="169" formatCode="0.00&quot; Hz/(L/min)&quot;"/>
    <numFmt numFmtId="170" formatCode="#,##0.0&quot; pul/L&quot;"/>
  </numFmts>
  <fonts count="13" x14ac:knownFonts="1">
    <font>
      <sz val="11"/>
      <color theme="1"/>
      <name val="Calibri"/>
      <family val="2"/>
      <scheme val="minor"/>
    </font>
    <font>
      <b/>
      <sz val="14"/>
      <color rgb="FF1A365D"/>
      <name val="Calibri"/>
      <family val="2"/>
    </font>
    <font>
      <b/>
      <sz val="11"/>
      <color rgb="FF2B6CB0"/>
      <name val="Calibri"/>
      <family val="2"/>
    </font>
    <font>
      <i/>
      <sz val="9"/>
      <color rgb="FF4A5568"/>
      <name val="Calibri"/>
      <family val="2"/>
    </font>
    <font>
      <b/>
      <sz val="9"/>
      <color rgb="FF2D3748"/>
      <name val="Calibri"/>
      <family val="2"/>
    </font>
    <font>
      <sz val="9"/>
      <color rgb="FF1A202C"/>
      <name val="Calibri"/>
      <family val="2"/>
    </font>
    <font>
      <b/>
      <sz val="9"/>
      <color rgb="FFC53030"/>
      <name val="Calibri"/>
      <family val="2"/>
    </font>
    <font>
      <b/>
      <sz val="10"/>
      <color rgb="FFFFFFFF"/>
      <name val="Calibri"/>
      <family val="2"/>
    </font>
    <font>
      <sz val="10"/>
      <color rgb="FF1A202C"/>
      <name val="Calibri"/>
      <family val="2"/>
    </font>
    <font>
      <b/>
      <sz val="10"/>
      <color rgb="FF1A202C"/>
      <name val="Calibri"/>
      <family val="2"/>
    </font>
    <font>
      <b/>
      <sz val="11"/>
      <color rgb="FF22543D"/>
      <name val="Calibri"/>
      <family val="2"/>
    </font>
    <font>
      <b/>
      <sz val="14"/>
      <color rgb="FF22543D"/>
      <name val="Calibri"/>
      <family val="2"/>
    </font>
    <font>
      <i/>
      <sz val="9"/>
      <color rgb="FF27674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1A365D"/>
        <bgColor rgb="FF1A365D"/>
      </patternFill>
    </fill>
    <fill>
      <patternFill patternType="solid">
        <fgColor rgb="FFEDF2F7"/>
        <bgColor rgb="FFEDF2F7"/>
      </patternFill>
    </fill>
    <fill>
      <patternFill patternType="solid">
        <fgColor rgb="FFFEFCBF"/>
        <bgColor rgb="FFFEFCBF"/>
      </patternFill>
    </fill>
    <fill>
      <patternFill patternType="solid">
        <fgColor rgb="FF2C5282"/>
        <bgColor rgb="FF2C5282"/>
      </patternFill>
    </fill>
    <fill>
      <patternFill patternType="solid">
        <fgColor rgb="FFC6F6D5"/>
        <bgColor rgb="FFC6F6D5"/>
      </patternFill>
    </fill>
  </fills>
  <borders count="11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22543D"/>
      </left>
      <right style="medium">
        <color rgb="FF22543D"/>
      </right>
      <top style="medium">
        <color rgb="FF22543D"/>
      </top>
      <bottom style="medium">
        <color rgb="FF22543D"/>
      </bottom>
      <diagonal/>
    </border>
    <border>
      <left/>
      <right/>
      <top style="medium">
        <color rgb="FF22543D"/>
      </top>
      <bottom/>
      <diagonal/>
    </border>
    <border>
      <left/>
      <right style="medium">
        <color rgb="FF22543D"/>
      </right>
      <top style="medium">
        <color rgb="FF22543D"/>
      </top>
      <bottom/>
      <diagonal/>
    </border>
    <border>
      <left/>
      <right/>
      <top style="medium">
        <color rgb="FF22543D"/>
      </top>
      <bottom style="medium">
        <color rgb="FF22543D"/>
      </bottom>
      <diagonal/>
    </border>
    <border>
      <left/>
      <right style="medium">
        <color rgb="FF22543D"/>
      </right>
      <top style="medium">
        <color rgb="FF22543D"/>
      </top>
      <bottom style="medium">
        <color rgb="FF22543D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22543D"/>
      </left>
      <right/>
      <top/>
      <bottom style="medium">
        <color rgb="FF22543D"/>
      </bottom>
      <diagonal/>
    </border>
    <border>
      <left/>
      <right/>
      <top/>
      <bottom style="medium">
        <color rgb="FF22543D"/>
      </bottom>
      <diagonal/>
    </border>
    <border>
      <left/>
      <right style="medium">
        <color rgb="FF22543D"/>
      </right>
      <top/>
      <bottom style="medium">
        <color rgb="FF22543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/>
    <xf numFmtId="165" fontId="8" fillId="5" borderId="1" xfId="0" applyNumberFormat="1" applyFont="1" applyFill="1" applyBorder="1"/>
    <xf numFmtId="166" fontId="8" fillId="5" borderId="1" xfId="0" applyNumberFormat="1" applyFont="1" applyFill="1" applyBorder="1"/>
    <xf numFmtId="167" fontId="8" fillId="5" borderId="1" xfId="0" applyNumberFormat="1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166" fontId="9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2" fontId="9" fillId="5" borderId="1" xfId="0" applyNumberFormat="1" applyFont="1" applyFill="1" applyBorder="1" applyAlignment="1">
      <alignment horizontal="right" vertical="center"/>
    </xf>
    <xf numFmtId="2" fontId="8" fillId="6" borderId="1" xfId="0" applyNumberFormat="1" applyFont="1" applyFill="1" applyBorder="1" applyAlignment="1">
      <alignment horizontal="right" vertical="center"/>
    </xf>
    <xf numFmtId="2" fontId="8" fillId="5" borderId="1" xfId="0" applyNumberFormat="1" applyFont="1" applyFill="1" applyBorder="1"/>
    <xf numFmtId="164" fontId="9" fillId="5" borderId="1" xfId="0" applyNumberFormat="1" applyFont="1" applyFill="1" applyBorder="1" applyAlignment="1">
      <alignment horizontal="right" vertical="center"/>
    </xf>
    <xf numFmtId="0" fontId="5" fillId="3" borderId="0" xfId="0" applyFont="1" applyFill="1"/>
    <xf numFmtId="0" fontId="0" fillId="0" borderId="0" xfId="0"/>
    <xf numFmtId="0" fontId="9" fillId="0" borderId="1" xfId="0" applyFont="1" applyBorder="1" applyAlignment="1">
      <alignment horizontal="left" vertical="center"/>
    </xf>
    <xf numFmtId="0" fontId="0" fillId="0" borderId="7" xfId="0" applyBorder="1"/>
    <xf numFmtId="0" fontId="1" fillId="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8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8" fontId="11" fillId="8" borderId="2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/>
    </xf>
    <xf numFmtId="170" fontId="11" fillId="8" borderId="2" xfId="0" applyNumberFormat="1" applyFont="1" applyFill="1" applyBorder="1" applyAlignment="1">
      <alignment horizontal="center" vertical="center" wrapText="1"/>
    </xf>
    <xf numFmtId="169" fontId="11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Curva Característica Bomba MBP-2000 (Caudal Q vs RPM)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 Experimentales</c:v>
          </c:tx>
          <c:spPr>
            <a:ln>
              <a:prstDash val="solid"/>
            </a:ln>
          </c:spPr>
          <c:marker>
            <c:symbol val="circle"/>
            <c:size val="7"/>
            <c:spPr>
              <a:solidFill>
                <a:srgbClr val="2B6CB0"/>
              </a:solidFill>
              <a:ln>
                <a:solidFill>
                  <a:srgbClr val="1A365D"/>
                </a:solidFill>
                <a:prstDash val="solid"/>
              </a:ln>
            </c:spPr>
          </c:marker>
          <c:xVal>
            <c:numRef>
              <c:f>'Ensayo 2 - Bomba (mL-rev)'!$B$12:$B$19</c:f>
              <c:numCache>
                <c:formatCode>0.0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xVal>
          <c:yVal>
            <c:numRef>
              <c:f>'Ensayo 2 - Bomba (mL-rev)'!$E$12:$E$19</c:f>
              <c:numCache>
                <c:formatCode>0.0</c:formatCode>
                <c:ptCount val="8"/>
                <c:pt idx="0">
                  <c:v>280</c:v>
                </c:pt>
                <c:pt idx="1">
                  <c:v>430</c:v>
                </c:pt>
                <c:pt idx="2">
                  <c:v>597</c:v>
                </c:pt>
                <c:pt idx="3">
                  <c:v>720</c:v>
                </c:pt>
                <c:pt idx="4">
                  <c:v>820</c:v>
                </c:pt>
                <c:pt idx="5">
                  <c:v>915</c:v>
                </c:pt>
                <c:pt idx="6">
                  <c:v>960</c:v>
                </c:pt>
                <c:pt idx="7">
                  <c:v>1080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F-4A59-9AA7-1EFF3A684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Velocidad de Bomba (RPM)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Caudal Medido Q (mL/min)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Curva de Calibración Caudalímetro YF-S401 (Frecuencia vs Caudal)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Curva Experimental</c:v>
          </c:tx>
          <c:spPr>
            <a:ln>
              <a:prstDash val="solid"/>
            </a:ln>
          </c:spPr>
          <c:marker>
            <c:symbol val="circle"/>
            <c:size val="7"/>
            <c:spPr>
              <a:solidFill>
                <a:srgbClr val="2B6CB0"/>
              </a:solidFill>
              <a:ln>
                <a:solidFill>
                  <a:srgbClr val="1A365D"/>
                </a:solidFill>
                <a:prstDash val="solid"/>
              </a:ln>
            </c:spPr>
          </c:marker>
          <c:xVal>
            <c:numRef>
              <c:f>'Ensayo 3 - Caudal Alimentacion'!$G$12:$G$19</c:f>
              <c:numCache>
                <c:formatCode>0.000</c:formatCode>
                <c:ptCount val="8"/>
                <c:pt idx="0">
                  <c:v>0.28000000000000003</c:v>
                </c:pt>
                <c:pt idx="1">
                  <c:v>0.43</c:v>
                </c:pt>
                <c:pt idx="2">
                  <c:v>0.59699999999999998</c:v>
                </c:pt>
                <c:pt idx="3">
                  <c:v>0.72</c:v>
                </c:pt>
                <c:pt idx="4">
                  <c:v>0.82</c:v>
                </c:pt>
                <c:pt idx="5">
                  <c:v>0.91500000000000004</c:v>
                </c:pt>
                <c:pt idx="6">
                  <c:v>0.96</c:v>
                </c:pt>
                <c:pt idx="7">
                  <c:v>1.08</c:v>
                </c:pt>
              </c:numCache>
            </c:numRef>
          </c:xVal>
          <c:yVal>
            <c:numRef>
              <c:f>'Ensayo 3 - Caudal Alimentacion'!$C$12:$C$19</c:f>
              <c:numCache>
                <c:formatCode>0.00</c:formatCode>
                <c:ptCount val="8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150</c:v>
                </c:pt>
                <c:pt idx="4">
                  <c:v>160</c:v>
                </c:pt>
                <c:pt idx="5">
                  <c:v>180</c:v>
                </c:pt>
                <c:pt idx="6">
                  <c:v>190</c:v>
                </c:pt>
                <c:pt idx="7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16-46E7-B14D-C08B5D69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Caudal Medido Q (L/min)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Frecuencia Generada F (Hz)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8" zoomScale="78" workbookViewId="0">
      <selection activeCell="C24" sqref="C24"/>
    </sheetView>
  </sheetViews>
  <sheetFormatPr baseColWidth="10" defaultColWidth="8.7109375" defaultRowHeight="15" x14ac:dyDescent="0.25"/>
  <cols>
    <col min="1" max="1" width="8" customWidth="1"/>
    <col min="2" max="2" width="14" customWidth="1"/>
    <col min="3" max="3" width="21.140625" customWidth="1"/>
    <col min="4" max="4" width="14" customWidth="1"/>
    <col min="5" max="5" width="15" customWidth="1"/>
    <col min="6" max="7" width="14" customWidth="1"/>
    <col min="8" max="9" width="16" customWidth="1"/>
    <col min="10" max="10" width="13" customWidth="1"/>
  </cols>
  <sheetData>
    <row r="1" spans="1:10" x14ac:dyDescent="0.25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6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5" t="s">
        <v>2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x14ac:dyDescent="0.25">
      <c r="A5" s="1" t="s">
        <v>3</v>
      </c>
      <c r="B5" s="19" t="s">
        <v>4</v>
      </c>
      <c r="C5" s="20"/>
      <c r="D5" s="20"/>
      <c r="E5" s="1" t="s">
        <v>5</v>
      </c>
      <c r="F5" s="19" t="s">
        <v>6</v>
      </c>
      <c r="G5" s="20"/>
      <c r="H5" s="20"/>
      <c r="I5" s="20"/>
      <c r="J5" s="20"/>
    </row>
    <row r="6" spans="1:10" x14ac:dyDescent="0.25">
      <c r="A6" s="1" t="s">
        <v>7</v>
      </c>
      <c r="B6" s="19" t="s">
        <v>8</v>
      </c>
      <c r="C6" s="20"/>
      <c r="D6" s="20"/>
      <c r="E6" s="1" t="s">
        <v>9</v>
      </c>
      <c r="F6" s="19" t="s">
        <v>10</v>
      </c>
      <c r="G6" s="20"/>
      <c r="H6" s="20"/>
      <c r="I6" s="20"/>
      <c r="J6" s="20"/>
    </row>
    <row r="7" spans="1:10" x14ac:dyDescent="0.25">
      <c r="A7" s="1" t="s">
        <v>11</v>
      </c>
      <c r="B7" s="19" t="s">
        <v>12</v>
      </c>
      <c r="C7" s="20"/>
      <c r="D7" s="20"/>
      <c r="E7" s="1" t="s">
        <v>13</v>
      </c>
      <c r="F7" s="19" t="s">
        <v>14</v>
      </c>
      <c r="G7" s="20"/>
      <c r="H7" s="20"/>
      <c r="I7" s="20"/>
      <c r="J7" s="20"/>
    </row>
    <row r="8" spans="1:10" x14ac:dyDescent="0.25">
      <c r="A8" s="1" t="s">
        <v>15</v>
      </c>
      <c r="B8" s="19" t="s">
        <v>16</v>
      </c>
      <c r="C8" s="20"/>
      <c r="D8" s="20"/>
      <c r="E8" s="1" t="s">
        <v>17</v>
      </c>
      <c r="F8" s="19" t="s">
        <v>18</v>
      </c>
      <c r="G8" s="20"/>
      <c r="H8" s="20"/>
      <c r="I8" s="20"/>
      <c r="J8" s="20"/>
    </row>
    <row r="9" spans="1:10" x14ac:dyDescent="0.25">
      <c r="A9" s="31" t="s">
        <v>19</v>
      </c>
      <c r="B9" s="20"/>
      <c r="C9" s="20"/>
      <c r="D9" s="20"/>
      <c r="E9" s="20"/>
      <c r="F9" s="20"/>
      <c r="G9" s="20"/>
      <c r="H9" s="20"/>
      <c r="I9" s="20"/>
      <c r="J9" s="20"/>
    </row>
    <row r="11" spans="1:10" ht="25.5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29</v>
      </c>
    </row>
    <row r="12" spans="1:10" x14ac:dyDescent="0.25">
      <c r="A12" s="3">
        <v>1</v>
      </c>
      <c r="B12" s="4">
        <v>20</v>
      </c>
      <c r="C12" s="5">
        <v>1</v>
      </c>
      <c r="D12" s="6">
        <v>280</v>
      </c>
      <c r="E12" s="7">
        <f t="shared" ref="E12:E19" si="0">IF(OR(D12="",C12=""),"",D12/C12)</f>
        <v>280</v>
      </c>
      <c r="F12" s="8">
        <f t="shared" ref="F12:F19" si="1">IF(E12="","",E12/1000)</f>
        <v>0.28000000000000003</v>
      </c>
      <c r="G12" s="9">
        <f t="shared" ref="G12:G19" si="2">IF(OR(B12="",E12=""),"",E12/B12)</f>
        <v>14</v>
      </c>
      <c r="H12" s="7">
        <f>IF(B12="","",B12*13.6)</f>
        <v>272</v>
      </c>
      <c r="I12" s="10">
        <f t="shared" ref="I12:I19" si="3">IF(OR(G12="",E12=""),"",((G12-13.6)/13.6)*100)</f>
        <v>2.9411764705882382</v>
      </c>
      <c r="J12" s="11" t="str">
        <f t="shared" ref="J12:J19" si="4">IF(E12="","-",IF(ABS(I12)&lt;=10,"OK","REVISAR"))</f>
        <v>OK</v>
      </c>
    </row>
    <row r="13" spans="1:10" x14ac:dyDescent="0.25">
      <c r="A13" s="3">
        <v>2</v>
      </c>
      <c r="B13" s="4">
        <v>30</v>
      </c>
      <c r="C13" s="5">
        <v>1</v>
      </c>
      <c r="D13" s="6">
        <v>430</v>
      </c>
      <c r="E13" s="7">
        <f t="shared" si="0"/>
        <v>430</v>
      </c>
      <c r="F13" s="8">
        <f t="shared" si="1"/>
        <v>0.43</v>
      </c>
      <c r="G13" s="9">
        <f t="shared" si="2"/>
        <v>14.333333333333334</v>
      </c>
      <c r="H13" s="7">
        <f t="shared" ref="H12:H19" si="5">IF(B13="","",B13*13.6)</f>
        <v>408</v>
      </c>
      <c r="I13" s="10">
        <f t="shared" si="3"/>
        <v>5.3921568627451055</v>
      </c>
      <c r="J13" s="11" t="str">
        <f t="shared" si="4"/>
        <v>OK</v>
      </c>
    </row>
    <row r="14" spans="1:10" x14ac:dyDescent="0.25">
      <c r="A14" s="3">
        <v>3</v>
      </c>
      <c r="B14" s="4">
        <v>40</v>
      </c>
      <c r="C14" s="5">
        <v>1</v>
      </c>
      <c r="D14" s="6">
        <v>597</v>
      </c>
      <c r="E14" s="7">
        <f t="shared" si="0"/>
        <v>597</v>
      </c>
      <c r="F14" s="8">
        <f t="shared" si="1"/>
        <v>0.59699999999999998</v>
      </c>
      <c r="G14" s="9">
        <f t="shared" si="2"/>
        <v>14.925000000000001</v>
      </c>
      <c r="H14" s="7">
        <f t="shared" si="5"/>
        <v>544</v>
      </c>
      <c r="I14" s="10">
        <f t="shared" si="3"/>
        <v>9.7426470588235379</v>
      </c>
      <c r="J14" s="11" t="str">
        <f t="shared" si="4"/>
        <v>OK</v>
      </c>
    </row>
    <row r="15" spans="1:10" x14ac:dyDescent="0.25">
      <c r="A15" s="3">
        <v>4</v>
      </c>
      <c r="B15" s="4">
        <v>50</v>
      </c>
      <c r="C15" s="5">
        <v>1</v>
      </c>
      <c r="D15" s="6">
        <v>720</v>
      </c>
      <c r="E15" s="7">
        <f t="shared" si="0"/>
        <v>720</v>
      </c>
      <c r="F15" s="8">
        <f t="shared" si="1"/>
        <v>0.72</v>
      </c>
      <c r="G15" s="9">
        <f t="shared" si="2"/>
        <v>14.4</v>
      </c>
      <c r="H15" s="7">
        <f t="shared" si="5"/>
        <v>680</v>
      </c>
      <c r="I15" s="10">
        <f t="shared" si="3"/>
        <v>5.8823529411764763</v>
      </c>
      <c r="J15" s="11" t="str">
        <f t="shared" si="4"/>
        <v>OK</v>
      </c>
    </row>
    <row r="16" spans="1:10" x14ac:dyDescent="0.25">
      <c r="A16" s="3">
        <v>5</v>
      </c>
      <c r="B16" s="4">
        <v>60</v>
      </c>
      <c r="C16" s="5">
        <v>1</v>
      </c>
      <c r="D16" s="6">
        <v>820</v>
      </c>
      <c r="E16" s="7">
        <f t="shared" si="0"/>
        <v>820</v>
      </c>
      <c r="F16" s="8">
        <f t="shared" si="1"/>
        <v>0.82</v>
      </c>
      <c r="G16" s="9">
        <f t="shared" si="2"/>
        <v>13.666666666666666</v>
      </c>
      <c r="H16" s="7">
        <f t="shared" si="5"/>
        <v>816</v>
      </c>
      <c r="I16" s="10">
        <f t="shared" si="3"/>
        <v>0.49019607843137081</v>
      </c>
      <c r="J16" s="11" t="str">
        <f t="shared" si="4"/>
        <v>OK</v>
      </c>
    </row>
    <row r="17" spans="1:10" x14ac:dyDescent="0.25">
      <c r="A17" s="3">
        <v>6</v>
      </c>
      <c r="B17" s="4">
        <v>70</v>
      </c>
      <c r="C17" s="5">
        <v>1</v>
      </c>
      <c r="D17" s="6">
        <v>915</v>
      </c>
      <c r="E17" s="7">
        <f t="shared" si="0"/>
        <v>915</v>
      </c>
      <c r="F17" s="8">
        <f t="shared" si="1"/>
        <v>0.91500000000000004</v>
      </c>
      <c r="G17" s="9">
        <f t="shared" si="2"/>
        <v>13.071428571428571</v>
      </c>
      <c r="H17" s="7">
        <f t="shared" si="5"/>
        <v>952</v>
      </c>
      <c r="I17" s="10">
        <f t="shared" si="3"/>
        <v>-3.886554621848739</v>
      </c>
      <c r="J17" s="11" t="str">
        <f t="shared" si="4"/>
        <v>OK</v>
      </c>
    </row>
    <row r="18" spans="1:10" x14ac:dyDescent="0.25">
      <c r="A18" s="3">
        <v>7</v>
      </c>
      <c r="B18" s="4">
        <v>80</v>
      </c>
      <c r="C18" s="5">
        <v>0.5</v>
      </c>
      <c r="D18" s="6">
        <v>480</v>
      </c>
      <c r="E18" s="7">
        <f t="shared" si="0"/>
        <v>960</v>
      </c>
      <c r="F18" s="8">
        <f t="shared" si="1"/>
        <v>0.96</v>
      </c>
      <c r="G18" s="9">
        <f t="shared" si="2"/>
        <v>12</v>
      </c>
      <c r="H18" s="7">
        <f t="shared" si="5"/>
        <v>1088</v>
      </c>
      <c r="I18" s="10">
        <f t="shared" si="3"/>
        <v>-11.764705882352938</v>
      </c>
      <c r="J18" s="11" t="str">
        <f t="shared" si="4"/>
        <v>REVISAR</v>
      </c>
    </row>
    <row r="19" spans="1:10" x14ac:dyDescent="0.25">
      <c r="A19" s="3">
        <v>8</v>
      </c>
      <c r="B19" s="4">
        <v>90</v>
      </c>
      <c r="C19" s="5">
        <v>0.5</v>
      </c>
      <c r="D19" s="6">
        <v>540</v>
      </c>
      <c r="E19" s="7">
        <f t="shared" si="0"/>
        <v>1080</v>
      </c>
      <c r="F19" s="8">
        <f t="shared" si="1"/>
        <v>1.08</v>
      </c>
      <c r="G19" s="9">
        <f t="shared" si="2"/>
        <v>12</v>
      </c>
      <c r="H19" s="7">
        <f t="shared" si="5"/>
        <v>1224</v>
      </c>
      <c r="I19" s="10">
        <f t="shared" si="3"/>
        <v>-11.764705882352938</v>
      </c>
      <c r="J19" s="11" t="str">
        <f t="shared" si="4"/>
        <v>REVISAR</v>
      </c>
    </row>
    <row r="21" spans="1:10" x14ac:dyDescent="0.25">
      <c r="A21" s="24" t="s">
        <v>30</v>
      </c>
      <c r="B21" s="20"/>
      <c r="C21" s="20"/>
      <c r="D21" s="20"/>
      <c r="E21" s="20"/>
      <c r="F21" s="20"/>
      <c r="G21" s="20"/>
    </row>
    <row r="22" spans="1:10" x14ac:dyDescent="0.25">
      <c r="A22" s="21" t="s">
        <v>31</v>
      </c>
      <c r="B22" s="22"/>
      <c r="C22" s="13">
        <f>AVERAGE(G12:G19)</f>
        <v>13.549553571428572</v>
      </c>
      <c r="D22" s="14" t="s">
        <v>32</v>
      </c>
      <c r="E22" s="12"/>
      <c r="F22" s="12"/>
      <c r="G22" s="12"/>
    </row>
    <row r="23" spans="1:10" x14ac:dyDescent="0.25">
      <c r="A23" s="21" t="s">
        <v>33</v>
      </c>
      <c r="B23" s="22"/>
      <c r="C23" s="13" t="e">
        <f ca="1">_xludf.STDEV.S(G12:G19)</f>
        <v>#NAME?</v>
      </c>
      <c r="D23" s="14" t="s">
        <v>32</v>
      </c>
      <c r="E23" s="12"/>
      <c r="F23" s="12"/>
      <c r="G23" s="12"/>
    </row>
    <row r="24" spans="1:10" x14ac:dyDescent="0.25">
      <c r="A24" s="21" t="s">
        <v>34</v>
      </c>
      <c r="B24" s="22"/>
      <c r="C24" s="15" t="e">
        <f ca="1">(C23/C22)*100</f>
        <v>#NAME?</v>
      </c>
      <c r="D24" s="14" t="s">
        <v>35</v>
      </c>
      <c r="E24" s="12"/>
      <c r="F24" s="12"/>
      <c r="G24" s="12"/>
    </row>
    <row r="25" spans="1:10" x14ac:dyDescent="0.25">
      <c r="A25" s="21" t="s">
        <v>36</v>
      </c>
      <c r="B25" s="22"/>
      <c r="C25" s="13">
        <f>SLOPE(E12:E19,B12:B19)</f>
        <v>11.076190476190476</v>
      </c>
      <c r="D25" s="14" t="s">
        <v>32</v>
      </c>
      <c r="E25" s="12"/>
      <c r="F25" s="12"/>
      <c r="G25" s="12"/>
    </row>
    <row r="26" spans="1:10" x14ac:dyDescent="0.25">
      <c r="A26" s="21" t="s">
        <v>37</v>
      </c>
      <c r="B26" s="22"/>
      <c r="C26" s="15">
        <f>INTERCEPT(E12:E19,B12:B19)</f>
        <v>116.05952380952385</v>
      </c>
      <c r="D26" s="14" t="s">
        <v>38</v>
      </c>
      <c r="E26" s="12"/>
      <c r="F26" s="12"/>
      <c r="G26" s="12"/>
    </row>
    <row r="27" spans="1:10" x14ac:dyDescent="0.25">
      <c r="A27" s="21" t="s">
        <v>39</v>
      </c>
      <c r="B27" s="22"/>
      <c r="C27" s="13">
        <f>RSQ(E12:E19,B12:B19)</f>
        <v>0.976187341183121</v>
      </c>
      <c r="D27" s="14" t="s">
        <v>40</v>
      </c>
      <c r="E27" s="12"/>
      <c r="F27" s="12"/>
      <c r="G27" s="12"/>
    </row>
    <row r="29" spans="1:10" x14ac:dyDescent="0.25">
      <c r="A29" s="30" t="s">
        <v>41</v>
      </c>
      <c r="B29" s="28"/>
      <c r="C29" s="28"/>
      <c r="D29" s="28"/>
      <c r="E29" s="28"/>
      <c r="F29" s="28"/>
      <c r="G29" s="29"/>
    </row>
    <row r="30" spans="1:10" x14ac:dyDescent="0.25">
      <c r="A30" s="30" t="s">
        <v>42</v>
      </c>
      <c r="B30" s="32"/>
      <c r="C30" s="32"/>
      <c r="D30" s="32"/>
      <c r="E30" s="33"/>
      <c r="F30" s="37">
        <f>C25</f>
        <v>11.076190476190476</v>
      </c>
      <c r="G30" s="33"/>
    </row>
    <row r="31" spans="1:10" x14ac:dyDescent="0.25">
      <c r="A31" s="34"/>
      <c r="B31" s="35"/>
      <c r="C31" s="35"/>
      <c r="D31" s="35"/>
      <c r="E31" s="36"/>
      <c r="F31" s="34"/>
      <c r="G31" s="36"/>
    </row>
    <row r="32" spans="1:10" x14ac:dyDescent="0.25">
      <c r="A32" s="27" t="s">
        <v>43</v>
      </c>
      <c r="B32" s="28"/>
      <c r="C32" s="28"/>
      <c r="D32" s="28"/>
      <c r="E32" s="28"/>
      <c r="F32" s="28"/>
      <c r="G32" s="29"/>
    </row>
  </sheetData>
  <mergeCells count="23">
    <mergeCell ref="A32:G32"/>
    <mergeCell ref="A24:B24"/>
    <mergeCell ref="B8:D8"/>
    <mergeCell ref="A29:G29"/>
    <mergeCell ref="F6:J6"/>
    <mergeCell ref="F7:J7"/>
    <mergeCell ref="A25:B25"/>
    <mergeCell ref="A9:J9"/>
    <mergeCell ref="A30:E31"/>
    <mergeCell ref="F30:G31"/>
    <mergeCell ref="F5:J5"/>
    <mergeCell ref="A27:B27"/>
    <mergeCell ref="B6:D6"/>
    <mergeCell ref="F8:J8"/>
    <mergeCell ref="A1:J1"/>
    <mergeCell ref="A26:B26"/>
    <mergeCell ref="B5:D5"/>
    <mergeCell ref="A23:B23"/>
    <mergeCell ref="B7:D7"/>
    <mergeCell ref="A22:B22"/>
    <mergeCell ref="A21:G21"/>
    <mergeCell ref="A3:J3"/>
    <mergeCell ref="A2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7" workbookViewId="0">
      <selection activeCell="D12" sqref="D12:E19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4" customWidth="1"/>
    <col min="4" max="4" width="13" customWidth="1"/>
    <col min="5" max="5" width="14" customWidth="1"/>
    <col min="6" max="6" width="15" customWidth="1"/>
    <col min="7" max="7" width="14" customWidth="1"/>
    <col min="8" max="8" width="17" customWidth="1"/>
    <col min="9" max="9" width="14" customWidth="1"/>
    <col min="10" max="10" width="17" customWidth="1"/>
    <col min="11" max="11" width="15" customWidth="1"/>
    <col min="12" max="12" width="13" customWidth="1"/>
  </cols>
  <sheetData>
    <row r="1" spans="1:12" x14ac:dyDescent="0.25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26" t="s">
        <v>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25">
      <c r="A3" s="25" t="s">
        <v>45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x14ac:dyDescent="0.25">
      <c r="A5" s="1" t="s">
        <v>46</v>
      </c>
      <c r="B5" s="19" t="s">
        <v>47</v>
      </c>
      <c r="C5" s="20"/>
      <c r="D5" s="20"/>
      <c r="E5" s="20"/>
      <c r="F5" s="1" t="s">
        <v>48</v>
      </c>
      <c r="G5" s="19" t="s">
        <v>49</v>
      </c>
      <c r="H5" s="20"/>
      <c r="I5" s="20"/>
      <c r="J5" s="20"/>
      <c r="K5" s="20"/>
      <c r="L5" s="20"/>
    </row>
    <row r="6" spans="1:12" x14ac:dyDescent="0.25">
      <c r="A6" s="1" t="s">
        <v>50</v>
      </c>
      <c r="B6" s="19" t="s">
        <v>51</v>
      </c>
      <c r="C6" s="20"/>
      <c r="D6" s="20"/>
      <c r="E6" s="20"/>
      <c r="F6" s="1" t="s">
        <v>52</v>
      </c>
      <c r="G6" s="19" t="s">
        <v>53</v>
      </c>
      <c r="H6" s="20"/>
      <c r="I6" s="20"/>
      <c r="J6" s="20"/>
      <c r="K6" s="20"/>
      <c r="L6" s="20"/>
    </row>
    <row r="7" spans="1:12" x14ac:dyDescent="0.25">
      <c r="A7" s="1" t="s">
        <v>54</v>
      </c>
      <c r="B7" s="19" t="s">
        <v>55</v>
      </c>
      <c r="C7" s="20"/>
      <c r="D7" s="20"/>
      <c r="E7" s="20"/>
      <c r="F7" s="1" t="s">
        <v>56</v>
      </c>
      <c r="G7" s="19" t="s">
        <v>57</v>
      </c>
      <c r="H7" s="20"/>
      <c r="I7" s="20"/>
      <c r="J7" s="20"/>
      <c r="K7" s="20"/>
      <c r="L7" s="20"/>
    </row>
    <row r="8" spans="1:12" x14ac:dyDescent="0.25">
      <c r="A8" s="1" t="s">
        <v>15</v>
      </c>
      <c r="B8" s="19" t="s">
        <v>16</v>
      </c>
      <c r="C8" s="20"/>
      <c r="D8" s="20"/>
      <c r="E8" s="20"/>
      <c r="F8" s="1" t="s">
        <v>58</v>
      </c>
      <c r="G8" s="19" t="s">
        <v>59</v>
      </c>
      <c r="H8" s="20"/>
      <c r="I8" s="20"/>
      <c r="J8" s="20"/>
      <c r="K8" s="20"/>
      <c r="L8" s="20"/>
    </row>
    <row r="9" spans="1:12" x14ac:dyDescent="0.25">
      <c r="A9" s="31" t="s">
        <v>60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1" spans="1:12" ht="25.5" x14ac:dyDescent="0.25">
      <c r="A11" s="2" t="s">
        <v>20</v>
      </c>
      <c r="B11" s="2" t="s">
        <v>21</v>
      </c>
      <c r="C11" s="2" t="s">
        <v>61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62</v>
      </c>
      <c r="I11" s="2" t="s">
        <v>63</v>
      </c>
      <c r="J11" s="2" t="s">
        <v>64</v>
      </c>
      <c r="K11" s="2" t="s">
        <v>65</v>
      </c>
      <c r="L11" s="2" t="s">
        <v>66</v>
      </c>
    </row>
    <row r="12" spans="1:12" x14ac:dyDescent="0.25">
      <c r="A12" s="3">
        <v>1</v>
      </c>
      <c r="B12" s="4">
        <v>20</v>
      </c>
      <c r="C12" s="16">
        <v>60</v>
      </c>
      <c r="D12" s="5">
        <v>1</v>
      </c>
      <c r="E12" s="6">
        <v>280</v>
      </c>
      <c r="F12" s="7">
        <f t="shared" ref="F12:F19" si="0">IF(OR(E12="",D12=""),"",E12/D12)</f>
        <v>280</v>
      </c>
      <c r="G12" s="8">
        <f t="shared" ref="G12:G19" si="1">IF(F12="","",F12/1000)</f>
        <v>0.28000000000000003</v>
      </c>
      <c r="H12" s="17">
        <f t="shared" ref="H12:H19" si="2">IF(OR(C12="",G12=""),"",C12/G12)</f>
        <v>214.28571428571428</v>
      </c>
      <c r="I12" s="7">
        <f t="shared" ref="I12:I19" si="3">IF(H12="","",H12*60)</f>
        <v>12857.142857142857</v>
      </c>
      <c r="J12" s="7">
        <f t="shared" ref="J12:J19" si="4">IF(C12="","",(C12*1000)/154.62)</f>
        <v>388.04811796662784</v>
      </c>
      <c r="K12" s="10">
        <f t="shared" ref="K12:K19" si="5">IF(OR(F12="",J12=""),"",((J12-F12)/F12)*100)</f>
        <v>38.588613559509945</v>
      </c>
      <c r="L12" s="11" t="str">
        <f t="shared" ref="L12:L19" si="6">IF(F12="","-",IF(ABS(K12)&lt;=5,"EXCELENTE",IF(ABS(K12)&lt;=12,"BUENA","DESVIADA")))</f>
        <v>DESVIADA</v>
      </c>
    </row>
    <row r="13" spans="1:12" x14ac:dyDescent="0.25">
      <c r="A13" s="3">
        <v>2</v>
      </c>
      <c r="B13" s="4">
        <v>30</v>
      </c>
      <c r="C13" s="16">
        <v>100</v>
      </c>
      <c r="D13" s="5">
        <v>1</v>
      </c>
      <c r="E13" s="6">
        <v>430</v>
      </c>
      <c r="F13" s="7">
        <f t="shared" si="0"/>
        <v>430</v>
      </c>
      <c r="G13" s="8">
        <f t="shared" si="1"/>
        <v>0.43</v>
      </c>
      <c r="H13" s="17">
        <f t="shared" si="2"/>
        <v>232.55813953488374</v>
      </c>
      <c r="I13" s="7">
        <f t="shared" si="3"/>
        <v>13953.488372093025</v>
      </c>
      <c r="J13" s="7">
        <f t="shared" si="4"/>
        <v>646.74686327771303</v>
      </c>
      <c r="K13" s="10">
        <f t="shared" si="5"/>
        <v>50.406247273886748</v>
      </c>
      <c r="L13" s="11" t="str">
        <f t="shared" si="6"/>
        <v>DESVIADA</v>
      </c>
    </row>
    <row r="14" spans="1:12" x14ac:dyDescent="0.25">
      <c r="A14" s="3">
        <v>3</v>
      </c>
      <c r="B14" s="4">
        <v>40</v>
      </c>
      <c r="C14" s="16">
        <v>130</v>
      </c>
      <c r="D14" s="5">
        <v>1</v>
      </c>
      <c r="E14" s="6">
        <v>597</v>
      </c>
      <c r="F14" s="7">
        <f t="shared" si="0"/>
        <v>597</v>
      </c>
      <c r="G14" s="8">
        <f t="shared" si="1"/>
        <v>0.59699999999999998</v>
      </c>
      <c r="H14" s="17">
        <f t="shared" si="2"/>
        <v>217.75544388609717</v>
      </c>
      <c r="I14" s="7">
        <f t="shared" si="3"/>
        <v>13065.326633165831</v>
      </c>
      <c r="J14" s="7">
        <f t="shared" si="4"/>
        <v>840.77092226102695</v>
      </c>
      <c r="K14" s="10">
        <f t="shared" si="5"/>
        <v>40.832650294979388</v>
      </c>
      <c r="L14" s="11" t="str">
        <f t="shared" si="6"/>
        <v>DESVIADA</v>
      </c>
    </row>
    <row r="15" spans="1:12" x14ac:dyDescent="0.25">
      <c r="A15" s="3">
        <v>4</v>
      </c>
      <c r="B15" s="4">
        <v>50</v>
      </c>
      <c r="C15" s="16">
        <v>150</v>
      </c>
      <c r="D15" s="5">
        <v>1</v>
      </c>
      <c r="E15" s="6">
        <v>720</v>
      </c>
      <c r="F15" s="7">
        <f t="shared" si="0"/>
        <v>720</v>
      </c>
      <c r="G15" s="8">
        <f t="shared" si="1"/>
        <v>0.72</v>
      </c>
      <c r="H15" s="17">
        <f t="shared" si="2"/>
        <v>208.33333333333334</v>
      </c>
      <c r="I15" s="7">
        <f t="shared" si="3"/>
        <v>12500</v>
      </c>
      <c r="J15" s="7">
        <f t="shared" si="4"/>
        <v>970.12029491656961</v>
      </c>
      <c r="K15" s="10">
        <f t="shared" si="5"/>
        <v>34.738929849523558</v>
      </c>
      <c r="L15" s="11" t="str">
        <f t="shared" si="6"/>
        <v>DESVIADA</v>
      </c>
    </row>
    <row r="16" spans="1:12" x14ac:dyDescent="0.25">
      <c r="A16" s="3">
        <v>5</v>
      </c>
      <c r="B16" s="4">
        <v>60</v>
      </c>
      <c r="C16" s="16">
        <v>160</v>
      </c>
      <c r="D16" s="5">
        <v>1</v>
      </c>
      <c r="E16" s="6">
        <v>820</v>
      </c>
      <c r="F16" s="7">
        <f t="shared" si="0"/>
        <v>820</v>
      </c>
      <c r="G16" s="8">
        <f t="shared" si="1"/>
        <v>0.82</v>
      </c>
      <c r="H16" s="17">
        <f t="shared" si="2"/>
        <v>195.1219512195122</v>
      </c>
      <c r="I16" s="7">
        <f t="shared" si="3"/>
        <v>11707.317073170732</v>
      </c>
      <c r="J16" s="7">
        <f t="shared" si="4"/>
        <v>1034.794981244341</v>
      </c>
      <c r="K16" s="10">
        <f t="shared" si="5"/>
        <v>26.194509907846463</v>
      </c>
      <c r="L16" s="11" t="str">
        <f t="shared" si="6"/>
        <v>DESVIADA</v>
      </c>
    </row>
    <row r="17" spans="1:12" x14ac:dyDescent="0.25">
      <c r="A17" s="3">
        <v>6</v>
      </c>
      <c r="B17" s="4">
        <v>70</v>
      </c>
      <c r="C17" s="16">
        <v>180</v>
      </c>
      <c r="D17" s="5">
        <v>1</v>
      </c>
      <c r="E17" s="6">
        <v>915</v>
      </c>
      <c r="F17" s="7">
        <f t="shared" si="0"/>
        <v>915</v>
      </c>
      <c r="G17" s="8">
        <f t="shared" si="1"/>
        <v>0.91500000000000004</v>
      </c>
      <c r="H17" s="17">
        <f t="shared" si="2"/>
        <v>196.72131147540983</v>
      </c>
      <c r="I17" s="7">
        <f t="shared" si="3"/>
        <v>11803.27868852459</v>
      </c>
      <c r="J17" s="7">
        <f t="shared" si="4"/>
        <v>1164.1443538998835</v>
      </c>
      <c r="K17" s="10">
        <f t="shared" si="5"/>
        <v>27.228891136599291</v>
      </c>
      <c r="L17" s="11" t="str">
        <f t="shared" si="6"/>
        <v>DESVIADA</v>
      </c>
    </row>
    <row r="18" spans="1:12" x14ac:dyDescent="0.25">
      <c r="A18" s="3">
        <v>7</v>
      </c>
      <c r="B18" s="4">
        <v>80</v>
      </c>
      <c r="C18" s="16">
        <v>190</v>
      </c>
      <c r="D18" s="5">
        <v>0.5</v>
      </c>
      <c r="E18" s="6">
        <v>480</v>
      </c>
      <c r="F18" s="7">
        <f t="shared" si="0"/>
        <v>960</v>
      </c>
      <c r="G18" s="8">
        <f t="shared" si="1"/>
        <v>0.96</v>
      </c>
      <c r="H18" s="17">
        <f t="shared" si="2"/>
        <v>197.91666666666669</v>
      </c>
      <c r="I18" s="7">
        <f t="shared" si="3"/>
        <v>11875.000000000002</v>
      </c>
      <c r="J18" s="7">
        <f t="shared" si="4"/>
        <v>1228.8190402276548</v>
      </c>
      <c r="K18" s="10">
        <f t="shared" si="5"/>
        <v>28.001983357047372</v>
      </c>
      <c r="L18" s="11" t="str">
        <f t="shared" si="6"/>
        <v>DESVIADA</v>
      </c>
    </row>
    <row r="19" spans="1:12" x14ac:dyDescent="0.25">
      <c r="A19" s="3">
        <v>8</v>
      </c>
      <c r="B19" s="4">
        <v>90</v>
      </c>
      <c r="C19" s="16">
        <v>200</v>
      </c>
      <c r="D19" s="5">
        <v>0.5</v>
      </c>
      <c r="E19" s="6">
        <v>540</v>
      </c>
      <c r="F19" s="7">
        <f t="shared" si="0"/>
        <v>1080</v>
      </c>
      <c r="G19" s="8">
        <f t="shared" si="1"/>
        <v>1.08</v>
      </c>
      <c r="H19" s="17">
        <f t="shared" si="2"/>
        <v>185.18518518518516</v>
      </c>
      <c r="I19" s="7">
        <f t="shared" si="3"/>
        <v>11111.111111111109</v>
      </c>
      <c r="J19" s="7">
        <f t="shared" si="4"/>
        <v>1293.4937265554261</v>
      </c>
      <c r="K19" s="10">
        <f t="shared" si="5"/>
        <v>19.767937644020932</v>
      </c>
      <c r="L19" s="11" t="str">
        <f t="shared" si="6"/>
        <v>DESVIADA</v>
      </c>
    </row>
    <row r="21" spans="1:12" x14ac:dyDescent="0.25">
      <c r="A21" s="24" t="s">
        <v>67</v>
      </c>
      <c r="B21" s="20"/>
      <c r="C21" s="20"/>
      <c r="D21" s="20"/>
      <c r="E21" s="20"/>
      <c r="F21" s="20"/>
      <c r="G21" s="20"/>
    </row>
    <row r="22" spans="1:12" x14ac:dyDescent="0.25">
      <c r="A22" s="21" t="s">
        <v>68</v>
      </c>
      <c r="B22" s="22"/>
      <c r="C22" s="15">
        <f>AVERAGE(H12:H19)</f>
        <v>205.98471819835035</v>
      </c>
      <c r="D22" s="14" t="s">
        <v>69</v>
      </c>
      <c r="E22" s="12"/>
      <c r="F22" s="12"/>
      <c r="G22" s="12"/>
    </row>
    <row r="23" spans="1:12" x14ac:dyDescent="0.25">
      <c r="A23" s="21" t="s">
        <v>70</v>
      </c>
      <c r="B23" s="22"/>
      <c r="C23" s="15" t="e">
        <f ca="1">_xludf.STDEV.S(H12:H19)</f>
        <v>#NAME?</v>
      </c>
      <c r="D23" s="14" t="s">
        <v>69</v>
      </c>
      <c r="E23" s="12"/>
      <c r="F23" s="12"/>
      <c r="G23" s="12"/>
    </row>
    <row r="24" spans="1:12" x14ac:dyDescent="0.25">
      <c r="A24" s="21" t="s">
        <v>71</v>
      </c>
      <c r="B24" s="22"/>
      <c r="C24" s="15" t="e">
        <f ca="1">(C23/C22)*100</f>
        <v>#NAME?</v>
      </c>
      <c r="D24" s="14" t="s">
        <v>35</v>
      </c>
      <c r="E24" s="12"/>
      <c r="F24" s="12"/>
      <c r="G24" s="12"/>
    </row>
    <row r="25" spans="1:12" x14ac:dyDescent="0.25">
      <c r="A25" s="21" t="s">
        <v>72</v>
      </c>
      <c r="B25" s="22"/>
      <c r="C25" s="18">
        <f>AVERAGE(I12:I19)</f>
        <v>12359.083091901019</v>
      </c>
      <c r="D25" s="14" t="s">
        <v>73</v>
      </c>
      <c r="E25" s="12"/>
      <c r="F25" s="12"/>
      <c r="G25" s="12"/>
    </row>
    <row r="26" spans="1:12" x14ac:dyDescent="0.25">
      <c r="A26" s="21" t="s">
        <v>74</v>
      </c>
      <c r="B26" s="22"/>
      <c r="C26" s="15">
        <f>SLOPE(C12:C19,G12:G19)</f>
        <v>172.72018543726384</v>
      </c>
      <c r="D26" s="14" t="s">
        <v>69</v>
      </c>
      <c r="E26" s="12"/>
      <c r="F26" s="12"/>
      <c r="G26" s="12"/>
    </row>
    <row r="27" spans="1:12" x14ac:dyDescent="0.25">
      <c r="A27" s="21" t="s">
        <v>75</v>
      </c>
      <c r="B27" s="22"/>
      <c r="C27" s="15">
        <f>INTERCEPT(C12:C19,G12:G19)</f>
        <v>20.984685511624406</v>
      </c>
      <c r="D27" s="14" t="s">
        <v>76</v>
      </c>
      <c r="E27" s="12"/>
      <c r="F27" s="12"/>
      <c r="G27" s="12"/>
    </row>
    <row r="28" spans="1:12" x14ac:dyDescent="0.25">
      <c r="A28" s="21" t="s">
        <v>39</v>
      </c>
      <c r="B28" s="22"/>
      <c r="C28" s="13">
        <f>RSQ(C12:C19,G12:G19)</f>
        <v>0.98492369074913211</v>
      </c>
      <c r="D28" s="14" t="s">
        <v>40</v>
      </c>
      <c r="E28" s="12"/>
      <c r="F28" s="12"/>
      <c r="G28" s="12"/>
    </row>
    <row r="30" spans="1:12" x14ac:dyDescent="0.25">
      <c r="A30" s="30" t="s">
        <v>77</v>
      </c>
      <c r="B30" s="28"/>
      <c r="C30" s="28"/>
      <c r="D30" s="28"/>
      <c r="E30" s="28"/>
      <c r="F30" s="28"/>
      <c r="G30" s="29"/>
    </row>
    <row r="31" spans="1:12" x14ac:dyDescent="0.25">
      <c r="A31" s="38" t="s">
        <v>78</v>
      </c>
      <c r="B31" s="28"/>
      <c r="C31" s="28"/>
      <c r="D31" s="29"/>
      <c r="E31" s="40">
        <f>C26</f>
        <v>172.72018543726384</v>
      </c>
      <c r="F31" s="28"/>
      <c r="G31" s="29"/>
    </row>
    <row r="32" spans="1:12" x14ac:dyDescent="0.25">
      <c r="A32" s="38" t="s">
        <v>79</v>
      </c>
      <c r="B32" s="28"/>
      <c r="C32" s="28"/>
      <c r="D32" s="29"/>
      <c r="E32" s="39">
        <f>E31*60</f>
        <v>10363.21112623583</v>
      </c>
      <c r="F32" s="28"/>
      <c r="G32" s="29"/>
    </row>
    <row r="33" spans="1:7" x14ac:dyDescent="0.25">
      <c r="A33" s="27" t="s">
        <v>80</v>
      </c>
      <c r="B33" s="28"/>
      <c r="C33" s="28"/>
      <c r="D33" s="28"/>
      <c r="E33" s="28"/>
      <c r="F33" s="28"/>
      <c r="G33" s="29"/>
    </row>
  </sheetData>
  <mergeCells count="26">
    <mergeCell ref="G6:L6"/>
    <mergeCell ref="B6:E6"/>
    <mergeCell ref="E31:G31"/>
    <mergeCell ref="B5:E5"/>
    <mergeCell ref="A25:B25"/>
    <mergeCell ref="B7:E7"/>
    <mergeCell ref="A30:G30"/>
    <mergeCell ref="A27:B27"/>
    <mergeCell ref="B8:E8"/>
    <mergeCell ref="A24:B24"/>
    <mergeCell ref="A1:L1"/>
    <mergeCell ref="A28:B28"/>
    <mergeCell ref="G8:L8"/>
    <mergeCell ref="A33:G33"/>
    <mergeCell ref="A32:D32"/>
    <mergeCell ref="G7:L7"/>
    <mergeCell ref="E32:G32"/>
    <mergeCell ref="A26:B26"/>
    <mergeCell ref="A9:L9"/>
    <mergeCell ref="A23:B23"/>
    <mergeCell ref="A22:B22"/>
    <mergeCell ref="A21:G21"/>
    <mergeCell ref="A3:L3"/>
    <mergeCell ref="A2:L2"/>
    <mergeCell ref="A31:D31"/>
    <mergeCell ref="G5:L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Ensayo 2 - Bomba (mL-rev)</vt:lpstr>
      <vt:lpstr>Ensayo 3 - Caudal Alimentacion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</cp:lastModifiedBy>
  <dcterms:created xsi:type="dcterms:W3CDTF">2026-10-02T17:06:35Z</dcterms:created>
  <dcterms:modified xsi:type="dcterms:W3CDTF">2026-10-07T21:33:07Z</dcterms:modified>
</cp:coreProperties>
</file>