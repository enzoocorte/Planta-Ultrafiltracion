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sayo 2 - Bomba (mL-rev)" sheetId="1" state="visible" r:id="rId1"/>
    <sheet xmlns:r="http://schemas.openxmlformats.org/officeDocument/2006/relationships" name="Ensayo 3 - Caudal Aliment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0.000"/>
    <numFmt numFmtId="166" formatCode="0.0000"/>
    <numFmt numFmtId="167" formatCode="+0.00%;-0.00%;0.00%"/>
    <numFmt numFmtId="168" formatCode="0.0000&quot; mL/rev&quot;"/>
    <numFmt numFmtId="169" formatCode="0.00&quot; Hz/(L/min)&quot;"/>
    <numFmt numFmtId="170" formatCode="#,##0.0&quot; pul/L&quot;"/>
  </numFmts>
  <fonts count="13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b val="1"/>
      <color rgb="002B6CB0"/>
      <sz val="11"/>
    </font>
    <font>
      <name val="Calibri"/>
      <i val="1"/>
      <color rgb="004A5568"/>
      <sz val="9"/>
    </font>
    <font>
      <name val="Calibri"/>
      <b val="1"/>
      <color rgb="002D3748"/>
      <sz val="9"/>
    </font>
    <font>
      <name val="Calibri"/>
      <color rgb="001A202C"/>
      <sz val="9"/>
    </font>
    <font>
      <name val="Calibri"/>
      <b val="1"/>
      <color rgb="00C53030"/>
      <sz val="9"/>
    </font>
    <font>
      <name val="Calibri"/>
      <b val="1"/>
      <color rgb="00FFFFFF"/>
      <sz val="10"/>
    </font>
    <font>
      <name val="Calibri"/>
      <color rgb="001A202C"/>
      <sz val="10"/>
    </font>
    <font>
      <name val="Calibri"/>
      <b val="1"/>
      <color rgb="001A202C"/>
      <sz val="10"/>
    </font>
    <font>
      <name val="Calibri"/>
      <b val="1"/>
      <color rgb="0022543D"/>
      <sz val="11"/>
    </font>
    <font>
      <name val="Calibri"/>
      <b val="1"/>
      <color rgb="0022543D"/>
      <sz val="14"/>
    </font>
    <font>
      <name val="Calibri"/>
      <i val="1"/>
      <color rgb="00276749"/>
      <sz val="9"/>
    </font>
  </fonts>
  <fills count="9">
    <fill>
      <patternFill/>
    </fill>
    <fill>
      <patternFill patternType="gray125"/>
    </fill>
    <fill>
      <patternFill patternType="solid">
        <fgColor rgb="00EBF8FF"/>
        <bgColor rgb="00EBF8FF"/>
      </patternFill>
    </fill>
    <fill>
      <patternFill patternType="solid">
        <fgColor rgb="00F7FAFC"/>
        <bgColor rgb="00F7FAFC"/>
      </patternFill>
    </fill>
    <fill>
      <patternFill patternType="solid">
        <fgColor rgb="001A365D"/>
        <bgColor rgb="001A365D"/>
      </patternFill>
    </fill>
    <fill>
      <patternFill patternType="solid">
        <fgColor rgb="00EDF2F7"/>
        <bgColor rgb="00EDF2F7"/>
      </patternFill>
    </fill>
    <fill>
      <patternFill patternType="solid">
        <fgColor rgb="00FEFCBF"/>
        <bgColor rgb="00FEFCBF"/>
      </patternFill>
    </fill>
    <fill>
      <patternFill patternType="solid">
        <fgColor rgb="002C5282"/>
        <bgColor rgb="002C5282"/>
      </patternFill>
    </fill>
    <fill>
      <patternFill patternType="solid">
        <fgColor rgb="00C6F6D5"/>
        <bgColor rgb="00C6F6D5"/>
      </patternFill>
    </fill>
  </fills>
  <borders count="15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medium">
        <color rgb="0022543D"/>
      </left>
      <right style="medium">
        <color rgb="0022543D"/>
      </right>
      <top style="medium">
        <color rgb="0022543D"/>
      </top>
      <bottom style="medium">
        <color rgb="0022543D"/>
      </bottom>
    </border>
    <border>
      <left/>
      <right/>
      <top style="medium">
        <color rgb="0022543D"/>
      </top>
      <bottom/>
      <diagonal/>
    </border>
    <border>
      <left/>
      <right style="medium">
        <color rgb="0022543D"/>
      </right>
      <top style="medium">
        <color rgb="0022543D"/>
      </top>
      <bottom/>
      <diagonal/>
    </border>
    <border>
      <left/>
      <right/>
      <top style="medium">
        <color rgb="0022543D"/>
      </top>
      <bottom style="medium">
        <color rgb="0022543D"/>
      </bottom>
      <diagonal/>
    </border>
    <border>
      <left/>
      <right style="medium">
        <color rgb="0022543D"/>
      </right>
      <top style="medium">
        <color rgb="0022543D"/>
      </top>
      <bottom style="medium">
        <color rgb="0022543D"/>
      </bottom>
      <diagonal/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  <border>
      <left style="medium">
        <color rgb="0022543D"/>
      </left>
      <right/>
      <top/>
      <bottom/>
      <diagonal/>
    </border>
    <border>
      <left/>
      <right style="medium">
        <color rgb="0022543D"/>
      </right>
      <top/>
      <bottom/>
      <diagonal/>
    </border>
    <border>
      <left style="medium">
        <color rgb="0022543D"/>
      </left>
      <right/>
      <top/>
      <bottom style="medium">
        <color rgb="0022543D"/>
      </bottom>
      <diagonal/>
    </border>
    <border>
      <left/>
      <right/>
      <top/>
      <bottom style="medium">
        <color rgb="0022543D"/>
      </bottom>
      <diagonal/>
    </border>
    <border>
      <left/>
      <right style="medium">
        <color rgb="0022543D"/>
      </right>
      <top/>
      <bottom style="medium">
        <color rgb="0022543D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2" fontId="8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right" vertical="center"/>
    </xf>
    <xf numFmtId="164" fontId="8" fillId="5" borderId="1" pivotButton="0" quotePrefix="0" xfId="0"/>
    <xf numFmtId="165" fontId="8" fillId="5" borderId="1" pivotButton="0" quotePrefix="0" xfId="0"/>
    <xf numFmtId="166" fontId="8" fillId="5" borderId="1" pivotButton="0" quotePrefix="0" xfId="0"/>
    <xf numFmtId="167" fontId="8" fillId="5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0" fontId="0" fillId="0" borderId="1" pivotButton="0" quotePrefix="0" xfId="0"/>
    <xf numFmtId="166" fontId="9" fillId="5" borderId="1" applyAlignment="1" pivotButton="0" quotePrefix="0" xfId="0">
      <alignment horizontal="right" vertical="center"/>
    </xf>
    <xf numFmtId="0" fontId="3" fillId="0" borderId="1" pivotButton="0" quotePrefix="0" xfId="0"/>
    <xf numFmtId="2" fontId="9" fillId="5" borderId="1" applyAlignment="1" pivotButton="0" quotePrefix="0" xfId="0">
      <alignment horizontal="right" vertical="center"/>
    </xf>
    <xf numFmtId="0" fontId="10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168" fontId="11" fillId="8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2" fontId="8" fillId="6" borderId="1" applyAlignment="1" pivotButton="0" quotePrefix="0" xfId="0">
      <alignment horizontal="right" vertical="center"/>
    </xf>
    <xf numFmtId="2" fontId="8" fillId="5" borderId="1" pivotButton="0" quotePrefix="0" xfId="0"/>
    <xf numFmtId="164" fontId="9" fillId="5" borderId="1" applyAlignment="1" pivotButton="0" quotePrefix="0" xfId="0">
      <alignment horizontal="right" vertical="center"/>
    </xf>
    <xf numFmtId="0" fontId="10" fillId="8" borderId="2" applyAlignment="1" pivotButton="0" quotePrefix="0" xfId="0">
      <alignment horizontal="left" vertical="center"/>
    </xf>
    <xf numFmtId="169" fontId="11" fillId="8" borderId="2" applyAlignment="1" pivotButton="0" quotePrefix="0" xfId="0">
      <alignment horizontal="center" vertical="center" wrapText="1"/>
    </xf>
    <xf numFmtId="170" fontId="11" fillId="8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Característica Bomba MBP-2000 (Caudal Q vs RPM)</a:t>
            </a:r>
          </a:p>
        </rich>
      </tx>
    </title>
    <plotArea>
      <scatterChart>
        <ser>
          <idx val="0"/>
          <order val="0"/>
          <tx>
            <v>Datos Experimentales</v>
          </tx>
          <spPr>
            <a:ln xmlns:a="http://schemas.openxmlformats.org/drawingml/2006/main"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B6CB0"/>
              </a:solidFill>
              <a:ln xmlns:a="http://schemas.openxmlformats.org/drawingml/2006/main">
                <a:solidFill>
                  <a:srgbClr val="1A365D"/>
                </a:solidFill>
                <a:prstDash val="solid"/>
              </a:ln>
            </spPr>
          </marker>
          <xVal>
            <numRef>
              <f>'Ensayo 2 - Bomba (mL-rev)'!$B$12:$B$19</f>
            </numRef>
          </xVal>
          <yVal>
            <numRef>
              <f>'Ensayo 2 - Bomba (mL-rev)'!$E$12:$E$19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Velocidad de Bomba (RPM)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Caudal Medido Q (mL/min)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de Calibración Caudalímetro YF-S401 (Frecuencia vs Caudal)</a:t>
            </a:r>
          </a:p>
        </rich>
      </tx>
    </title>
    <plotArea>
      <scatterChart>
        <ser>
          <idx val="0"/>
          <order val="0"/>
          <tx>
            <v>Curva Experimental</v>
          </tx>
          <spPr>
            <a:ln xmlns:a="http://schemas.openxmlformats.org/drawingml/2006/main"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B6CB0"/>
              </a:solidFill>
              <a:ln xmlns:a="http://schemas.openxmlformats.org/drawingml/2006/main">
                <a:solidFill>
                  <a:srgbClr val="1A365D"/>
                </a:solidFill>
                <a:prstDash val="solid"/>
              </a:ln>
            </spPr>
          </marker>
          <xVal>
            <numRef>
              <f>'Ensayo 3 - Caudal Alimentacion'!$G$12:$G$19</f>
            </numRef>
          </xVal>
          <yVal>
            <numRef>
              <f>'Ensayo 3 - Caudal Alimentacion'!$C$12:$C$19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Caudal Medido Q (L/min)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 Generada F (Hz)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4" customWidth="1" min="4" max="4"/>
    <col width="15" customWidth="1" min="5" max="5"/>
    <col width="14" customWidth="1" min="6" max="6"/>
    <col width="14" customWidth="1" min="7" max="7"/>
    <col width="16" customWidth="1" min="8" max="8"/>
    <col width="16" customWidth="1" min="9" max="9"/>
    <col width="13" customWidth="1" min="10" max="10"/>
  </cols>
  <sheetData>
    <row r="1">
      <c r="A1" s="1" t="inlineStr">
        <is>
          <t>PLANTA PILOTO DE ULTRAFILTRACIÓN FX100 — UNIVERSIDAD NACIONAL DE SALTA</t>
        </is>
      </c>
    </row>
    <row r="2">
      <c r="A2" s="2" t="inlineStr">
        <is>
          <t>ENSAYO 2: CALIBRACIÓN CINEMÁTICA Y VOLUMÉTRICA DE LA BOMBA PERISTÁLTICA MBP-2000</t>
        </is>
      </c>
    </row>
    <row r="3">
      <c r="A3" s="3" t="inlineStr">
        <is>
          <t>Determinación Experimental del Desplazamiento por Revolución (Cilindrada en mL/rev) mediante Probeta de 1000 mL</t>
        </is>
      </c>
    </row>
    <row r="5">
      <c r="A5" s="4" t="inlineStr">
        <is>
          <t>Instrumento:</t>
        </is>
      </c>
      <c r="B5" s="5" t="inlineStr">
        <is>
          <t>Probeta Graduada de 1000 mL</t>
        </is>
      </c>
      <c r="E5" s="4" t="inlineStr">
        <is>
          <t>Manguera:</t>
        </is>
      </c>
      <c r="F5" s="5" t="inlineStr">
        <is>
          <t>Silicona Flexible APM (Øint 12 mm, Øext 18 mm)</t>
        </is>
      </c>
    </row>
    <row r="6">
      <c r="A6" s="4" t="inlineStr">
        <is>
          <t>Fluido de Ensayo:</t>
        </is>
      </c>
      <c r="B6" s="5" t="inlineStr">
        <is>
          <t>Agua Desionizada / Limpia a 20 °C</t>
        </is>
      </c>
      <c r="E6" s="4" t="inlineStr">
        <is>
          <t>Cabezal:</t>
        </is>
      </c>
      <c r="F6" s="5" t="inlineStr">
        <is>
          <t>MBP-2000 (Rotor 3 rodillos a 120°)</t>
        </is>
      </c>
    </row>
    <row r="7">
      <c r="A7" s="4" t="inlineStr">
        <is>
          <t>Driver Motor:</t>
        </is>
      </c>
      <c r="B7" s="5" t="inlineStr">
        <is>
          <t>Leadshine DM860 (3200 pulsos/rev - 1/16 micropasos)</t>
        </is>
      </c>
      <c r="E7" s="4" t="inlineStr">
        <is>
          <t>Motor:</t>
        </is>
      </c>
      <c r="F7" s="5" t="inlineStr">
        <is>
          <t>Paso a Paso NEMA 34 (4.0 N·m)</t>
        </is>
      </c>
    </row>
    <row r="8">
      <c r="A8" s="4" t="inlineStr">
        <is>
          <t>Operadores:</t>
        </is>
      </c>
      <c r="B8" s="5" t="inlineStr">
        <is>
          <t>Owen Cañizares / Antonella Guitián / Enzo</t>
        </is>
      </c>
      <c r="E8" s="4" t="inlineStr">
        <is>
          <t>Ubicación:</t>
        </is>
      </c>
      <c r="F8" s="5" t="inlineStr">
        <is>
          <t>Laboratorio de Operaciones Unitarias - UNSa</t>
        </is>
      </c>
    </row>
    <row r="9">
      <c r="A9" s="7" t="inlineStr">
        <is>
          <t>NOTA OPERATIVA: Ingrese los datos en las celdas amarillas (D y E). Para RPM &lt;= 70 use tiempo de 1.0 min (entra en probeta 1000 mL). Para RPM &gt;= 80 use 0.5 min para evitar desborde.</t>
        </is>
      </c>
    </row>
    <row r="11">
      <c r="A11" s="8" t="inlineStr">
        <is>
          <t>Corrida
#</t>
        </is>
      </c>
      <c r="B11" s="8" t="inlineStr">
        <is>
          <t>Consigna
Bomba [RPM]</t>
        </is>
      </c>
      <c r="C11" s="8" t="inlineStr">
        <is>
          <t>Tiempo
Ensayo [min]</t>
        </is>
      </c>
      <c r="D11" s="8" t="inlineStr">
        <is>
          <t>Volumen en
Probeta [mL]</t>
        </is>
      </c>
      <c r="E11" s="8" t="inlineStr">
        <is>
          <t>Caudal Medido
Q [mL/min]</t>
        </is>
      </c>
      <c r="F11" s="8" t="inlineStr">
        <is>
          <t>Caudal Medido
Q [L/min]</t>
        </is>
      </c>
      <c r="G11" s="8" t="inlineStr">
        <is>
          <t>Cilindrada
[mL/rev]</t>
        </is>
      </c>
      <c r="H11" s="8" t="inlineStr">
        <is>
          <t>Caudal Nominal
Previo [mL/min]</t>
        </is>
      </c>
      <c r="I11" s="8" t="inlineStr">
        <is>
          <t>Desviación vs
13.60 mL/rev [%]</t>
        </is>
      </c>
      <c r="J11" s="8" t="inlineStr">
        <is>
          <t>Estado /
Linealidad</t>
        </is>
      </c>
    </row>
    <row r="12">
      <c r="A12" s="9" t="n">
        <v>1</v>
      </c>
      <c r="B12" s="10" t="n">
        <v>20</v>
      </c>
      <c r="C12" s="11" t="n"/>
      <c r="D12" s="12" t="n"/>
      <c r="E12" s="13">
        <f>IF(OR(D12="",C12=""),"",D12/C12)</f>
        <v/>
      </c>
      <c r="F12" s="14">
        <f>IF(E12="","",E12/1000)</f>
        <v/>
      </c>
      <c r="G12" s="15">
        <f>IF(OR(B12="",E12=""),"",E12/B12)</f>
        <v/>
      </c>
      <c r="H12" s="13">
        <f>IF(B12="","",B12*13.6)</f>
        <v/>
      </c>
      <c r="I12" s="16">
        <f>IF(OR(G12="",E12=""),"",((G12-13.6)/13.6)*100)</f>
        <v/>
      </c>
      <c r="J12" s="17">
        <f>IF(E12="","-",IF(ABS(I12)&lt;=10,"OK","REVISAR"))</f>
        <v/>
      </c>
    </row>
    <row r="13">
      <c r="A13" s="9" t="n">
        <v>2</v>
      </c>
      <c r="B13" s="10" t="n">
        <v>30</v>
      </c>
      <c r="C13" s="11" t="n"/>
      <c r="D13" s="12" t="n"/>
      <c r="E13" s="13">
        <f>IF(OR(D13="",C13=""),"",D13/C13)</f>
        <v/>
      </c>
      <c r="F13" s="14">
        <f>IF(E13="","",E13/1000)</f>
        <v/>
      </c>
      <c r="G13" s="15">
        <f>IF(OR(B13="",E13=""),"",E13/B13)</f>
        <v/>
      </c>
      <c r="H13" s="13">
        <f>IF(B13="","",B13*13.6)</f>
        <v/>
      </c>
      <c r="I13" s="16">
        <f>IF(OR(G13="",E13=""),"",((G13-13.6)/13.6)*100)</f>
        <v/>
      </c>
      <c r="J13" s="17">
        <f>IF(E13="","-",IF(ABS(I13)&lt;=10,"OK","REVISAR"))</f>
        <v/>
      </c>
    </row>
    <row r="14">
      <c r="A14" s="9" t="n">
        <v>3</v>
      </c>
      <c r="B14" s="10" t="n">
        <v>40</v>
      </c>
      <c r="C14" s="11" t="n"/>
      <c r="D14" s="12" t="n"/>
      <c r="E14" s="13">
        <f>IF(OR(D14="",C14=""),"",D14/C14)</f>
        <v/>
      </c>
      <c r="F14" s="14">
        <f>IF(E14="","",E14/1000)</f>
        <v/>
      </c>
      <c r="G14" s="15">
        <f>IF(OR(B14="",E14=""),"",E14/B14)</f>
        <v/>
      </c>
      <c r="H14" s="13">
        <f>IF(B14="","",B14*13.6)</f>
        <v/>
      </c>
      <c r="I14" s="16">
        <f>IF(OR(G14="",E14=""),"",((G14-13.6)/13.6)*100)</f>
        <v/>
      </c>
      <c r="J14" s="17">
        <f>IF(E14="","-",IF(ABS(I14)&lt;=10,"OK","REVISAR"))</f>
        <v/>
      </c>
    </row>
    <row r="15">
      <c r="A15" s="9" t="n">
        <v>4</v>
      </c>
      <c r="B15" s="10" t="n">
        <v>50</v>
      </c>
      <c r="C15" s="11" t="n"/>
      <c r="D15" s="12" t="n"/>
      <c r="E15" s="13">
        <f>IF(OR(D15="",C15=""),"",D15/C15)</f>
        <v/>
      </c>
      <c r="F15" s="14">
        <f>IF(E15="","",E15/1000)</f>
        <v/>
      </c>
      <c r="G15" s="15">
        <f>IF(OR(B15="",E15=""),"",E15/B15)</f>
        <v/>
      </c>
      <c r="H15" s="13">
        <f>IF(B15="","",B15*13.6)</f>
        <v/>
      </c>
      <c r="I15" s="16">
        <f>IF(OR(G15="",E15=""),"",((G15-13.6)/13.6)*100)</f>
        <v/>
      </c>
      <c r="J15" s="17">
        <f>IF(E15="","-",IF(ABS(I15)&lt;=10,"OK","REVISAR"))</f>
        <v/>
      </c>
    </row>
    <row r="16">
      <c r="A16" s="9" t="n">
        <v>5</v>
      </c>
      <c r="B16" s="10" t="n">
        <v>60</v>
      </c>
      <c r="C16" s="11" t="n"/>
      <c r="D16" s="12" t="n"/>
      <c r="E16" s="13">
        <f>IF(OR(D16="",C16=""),"",D16/C16)</f>
        <v/>
      </c>
      <c r="F16" s="14">
        <f>IF(E16="","",E16/1000)</f>
        <v/>
      </c>
      <c r="G16" s="15">
        <f>IF(OR(B16="",E16=""),"",E16/B16)</f>
        <v/>
      </c>
      <c r="H16" s="13">
        <f>IF(B16="","",B16*13.6)</f>
        <v/>
      </c>
      <c r="I16" s="16">
        <f>IF(OR(G16="",E16=""),"",((G16-13.6)/13.6)*100)</f>
        <v/>
      </c>
      <c r="J16" s="17">
        <f>IF(E16="","-",IF(ABS(I16)&lt;=10,"OK","REVISAR"))</f>
        <v/>
      </c>
    </row>
    <row r="17">
      <c r="A17" s="9" t="n">
        <v>6</v>
      </c>
      <c r="B17" s="10" t="n">
        <v>70</v>
      </c>
      <c r="C17" s="11" t="n"/>
      <c r="D17" s="12" t="n"/>
      <c r="E17" s="13">
        <f>IF(OR(D17="",C17=""),"",D17/C17)</f>
        <v/>
      </c>
      <c r="F17" s="14">
        <f>IF(E17="","",E17/1000)</f>
        <v/>
      </c>
      <c r="G17" s="15">
        <f>IF(OR(B17="",E17=""),"",E17/B17)</f>
        <v/>
      </c>
      <c r="H17" s="13">
        <f>IF(B17="","",B17*13.6)</f>
        <v/>
      </c>
      <c r="I17" s="16">
        <f>IF(OR(G17="",E17=""),"",((G17-13.6)/13.6)*100)</f>
        <v/>
      </c>
      <c r="J17" s="17">
        <f>IF(E17="","-",IF(ABS(I17)&lt;=10,"OK","REVISAR"))</f>
        <v/>
      </c>
    </row>
    <row r="18">
      <c r="A18" s="9" t="n">
        <v>7</v>
      </c>
      <c r="B18" s="10" t="n">
        <v>80</v>
      </c>
      <c r="C18" s="11" t="n"/>
      <c r="D18" s="12" t="n"/>
      <c r="E18" s="13">
        <f>IF(OR(D18="",C18=""),"",D18/C18)</f>
        <v/>
      </c>
      <c r="F18" s="14">
        <f>IF(E18="","",E18/1000)</f>
        <v/>
      </c>
      <c r="G18" s="15">
        <f>IF(OR(B18="",E18=""),"",E18/B18)</f>
        <v/>
      </c>
      <c r="H18" s="13">
        <f>IF(B18="","",B18*13.6)</f>
        <v/>
      </c>
      <c r="I18" s="16">
        <f>IF(OR(G18="",E18=""),"",((G18-13.6)/13.6)*100)</f>
        <v/>
      </c>
      <c r="J18" s="17">
        <f>IF(E18="","-",IF(ABS(I18)&lt;=10,"OK","REVISAR"))</f>
        <v/>
      </c>
    </row>
    <row r="19">
      <c r="A19" s="9" t="n">
        <v>8</v>
      </c>
      <c r="B19" s="10" t="n">
        <v>90</v>
      </c>
      <c r="C19" s="11" t="n"/>
      <c r="D19" s="12" t="n"/>
      <c r="E19" s="13">
        <f>IF(OR(D19="",C19=""),"",D19/C19)</f>
        <v/>
      </c>
      <c r="F19" s="14">
        <f>IF(E19="","",E19/1000)</f>
        <v/>
      </c>
      <c r="G19" s="15">
        <f>IF(OR(B19="",E19=""),"",E19/B19)</f>
        <v/>
      </c>
      <c r="H19" s="13">
        <f>IF(B19="","",B19*13.6)</f>
        <v/>
      </c>
      <c r="I19" s="16">
        <f>IF(OR(G19="",E19=""),"",((G19-13.6)/13.6)*100)</f>
        <v/>
      </c>
      <c r="J19" s="17">
        <f>IF(E19="","-",IF(ABS(I19)&lt;=10,"OK","REVISAR"))</f>
        <v/>
      </c>
    </row>
    <row r="21">
      <c r="A21" s="18" t="inlineStr">
        <is>
          <t>RESUMEN ESTADÍSTICO Y REGRESIÓN LINEAL (CAUDAL vs RPM)</t>
        </is>
      </c>
    </row>
    <row r="22">
      <c r="A22" s="19" t="inlineStr">
        <is>
          <t>Cilindrada Media (Promedio Aritmético):</t>
        </is>
      </c>
      <c r="B22" s="34" t="n"/>
      <c r="C22" s="21">
        <f>AVERAGE(G12:G19)</f>
        <v/>
      </c>
      <c r="D22" s="22" t="inlineStr">
        <is>
          <t>mL/rev</t>
        </is>
      </c>
      <c r="E22" s="20" t="n"/>
      <c r="F22" s="20" t="n"/>
      <c r="G22" s="20" t="n"/>
    </row>
    <row r="23">
      <c r="A23" s="19" t="inlineStr">
        <is>
          <t>Desviación Estándar Muestral (σ):</t>
        </is>
      </c>
      <c r="B23" s="34" t="n"/>
      <c r="C23" s="21">
        <f>STDEV.S(G12:G19)</f>
        <v/>
      </c>
      <c r="D23" s="22" t="inlineStr">
        <is>
          <t>mL/rev</t>
        </is>
      </c>
      <c r="E23" s="20" t="n"/>
      <c r="F23" s="20" t="n"/>
      <c r="G23" s="20" t="n"/>
    </row>
    <row r="24">
      <c r="A24" s="19" t="inlineStr">
        <is>
          <t>Coeficiente de Variación (CV%):</t>
        </is>
      </c>
      <c r="B24" s="34" t="n"/>
      <c r="C24" s="23">
        <f>(C23/C22)*100</f>
        <v/>
      </c>
      <c r="D24" s="22" t="inlineStr">
        <is>
          <t>%</t>
        </is>
      </c>
      <c r="E24" s="20" t="n"/>
      <c r="F24" s="20" t="n"/>
      <c r="G24" s="20" t="n"/>
    </row>
    <row r="25">
      <c r="A25" s="19" t="inlineStr">
        <is>
          <t>Pendiente de Regresión Q vs RPM (Cilindrada):</t>
        </is>
      </c>
      <c r="B25" s="34" t="n"/>
      <c r="C25" s="21">
        <f>SLOPE(E12:E19,B12:B19)</f>
        <v/>
      </c>
      <c r="D25" s="22" t="inlineStr">
        <is>
          <t>mL/rev</t>
        </is>
      </c>
      <c r="E25" s="20" t="n"/>
      <c r="F25" s="20" t="n"/>
      <c r="G25" s="20" t="n"/>
    </row>
    <row r="26">
      <c r="A26" s="19" t="inlineStr">
        <is>
          <t>Ordenada al Origen de Regresión (b):</t>
        </is>
      </c>
      <c r="B26" s="34" t="n"/>
      <c r="C26" s="23">
        <f>INTERCEPT(E12:E19,B12:B19)</f>
        <v/>
      </c>
      <c r="D26" s="22" t="inlineStr">
        <is>
          <t>mL/min</t>
        </is>
      </c>
      <c r="E26" s="20" t="n"/>
      <c r="F26" s="20" t="n"/>
      <c r="G26" s="20" t="n"/>
    </row>
    <row r="27">
      <c r="A27" s="19" t="inlineStr">
        <is>
          <t>Coeficiente de Determinación (R²):</t>
        </is>
      </c>
      <c r="B27" s="34" t="n"/>
      <c r="C27" s="21">
        <f>RSQ(E12:E19,B12:B19)</f>
        <v/>
      </c>
      <c r="D27" s="22" t="inlineStr">
        <is>
          <t>-</t>
        </is>
      </c>
      <c r="E27" s="20" t="n"/>
      <c r="F27" s="20" t="n"/>
      <c r="G27" s="20" t="n"/>
    </row>
    <row r="29">
      <c r="A29" s="24" t="inlineStr">
        <is>
          <t>PARÁMETRO DEFINITIVO PARA EL FIRMWARE / SCADA</t>
        </is>
      </c>
      <c r="B29" s="35" t="n"/>
      <c r="C29" s="35" t="n"/>
      <c r="D29" s="35" t="n"/>
      <c r="E29" s="35" t="n"/>
      <c r="F29" s="35" t="n"/>
      <c r="G29" s="36" t="n"/>
    </row>
    <row r="30">
      <c r="A30" s="24" t="inlineStr">
        <is>
          <t>Cilindrada Calibrada Bomba (ML_POR_VUELTA):</t>
        </is>
      </c>
      <c r="B30" s="37" t="n"/>
      <c r="C30" s="37" t="n"/>
      <c r="D30" s="37" t="n"/>
      <c r="E30" s="38" t="n"/>
      <c r="F30" s="26">
        <f>C25</f>
        <v/>
      </c>
      <c r="G30" s="38" t="n"/>
    </row>
    <row r="31">
      <c r="A31" s="39" t="n"/>
      <c r="B31" s="40" t="n"/>
      <c r="C31" s="40" t="n"/>
      <c r="D31" s="40" t="n"/>
      <c r="E31" s="41" t="n"/>
      <c r="F31" s="39" t="n"/>
      <c r="G31" s="41" t="n"/>
    </row>
    <row r="32">
      <c r="A32" s="27" t="inlineStr">
        <is>
          <t>Ubicación en código: config.h -&gt; constexpr float ML_POR_VUELTA | En Web: Modo Desarrollador -&gt; Cilindrada Bomba</t>
        </is>
      </c>
      <c r="B32" s="35" t="n"/>
      <c r="C32" s="35" t="n"/>
      <c r="D32" s="35" t="n"/>
      <c r="E32" s="35" t="n"/>
      <c r="F32" s="35" t="n"/>
      <c r="G32" s="36" t="n"/>
    </row>
  </sheetData>
  <mergeCells count="23">
    <mergeCell ref="A32:G32"/>
    <mergeCell ref="A24:B24"/>
    <mergeCell ref="B8:D8"/>
    <mergeCell ref="A29:G29"/>
    <mergeCell ref="F6:J6"/>
    <mergeCell ref="F7:J7"/>
    <mergeCell ref="A25:B25"/>
    <mergeCell ref="A9:J9"/>
    <mergeCell ref="F5:J5"/>
    <mergeCell ref="A27:B27"/>
    <mergeCell ref="B6:D6"/>
    <mergeCell ref="F8:J8"/>
    <mergeCell ref="A1:J1"/>
    <mergeCell ref="A26:B26"/>
    <mergeCell ref="B5:D5"/>
    <mergeCell ref="A23:B23"/>
    <mergeCell ref="B7:D7"/>
    <mergeCell ref="A30:E31"/>
    <mergeCell ref="A22:B22"/>
    <mergeCell ref="A21:G21"/>
    <mergeCell ref="A3:J3"/>
    <mergeCell ref="A2:J2"/>
    <mergeCell ref="F30:G3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3" customWidth="1" min="4" max="4"/>
    <col width="14" customWidth="1" min="5" max="5"/>
    <col width="15" customWidth="1" min="6" max="6"/>
    <col width="14" customWidth="1" min="7" max="7"/>
    <col width="17" customWidth="1" min="8" max="8"/>
    <col width="14" customWidth="1" min="9" max="9"/>
    <col width="17" customWidth="1" min="10" max="10"/>
    <col width="15" customWidth="1" min="11" max="11"/>
    <col width="13" customWidth="1" min="12" max="12"/>
  </cols>
  <sheetData>
    <row r="1">
      <c r="A1" s="1" t="inlineStr">
        <is>
          <t>PLANTA PILOTO DE ULTRAFILTRACIÓN FX100 — UNIVERSIDAD NACIONAL DE SALTA</t>
        </is>
      </c>
    </row>
    <row r="2">
      <c r="A2" s="2" t="inlineStr">
        <is>
          <t>ENSAYO 3: CALIBRACIÓN DEL CAUDALÍMETRO DE ALIMENTACIÓN YF-S401 (BORNE 12 / GPIO 14)</t>
        </is>
      </c>
    </row>
    <row r="3">
      <c r="A3" s="3" t="inlineStr">
        <is>
          <t>Determinación Experimental de la Constante de Transducción K en [Hz / (L/min)] y Pulsos por Litro mediante Probeta</t>
        </is>
      </c>
    </row>
    <row r="5">
      <c r="A5" s="4" t="inlineStr">
        <is>
          <t>Sensor:</t>
        </is>
      </c>
      <c r="B5" s="5" t="inlineStr">
        <is>
          <t>Efecto Hall YF-S401 (Impulsión / Alimentación)</t>
        </is>
      </c>
      <c r="F5" s="4" t="inlineStr">
        <is>
          <t>Pin ESP32:</t>
        </is>
      </c>
      <c r="G5" s="5" t="inlineStr">
        <is>
          <t>GPIO 14 (Borne 12 Superior)</t>
        </is>
      </c>
    </row>
    <row r="6">
      <c r="A6" s="4" t="inlineStr">
        <is>
          <t>Front-End:</t>
        </is>
      </c>
      <c r="B6" s="5" t="inlineStr">
        <is>
          <t>Filtro RC analógico (fc ≈ 338 Hz) + Blanking 1500 µs</t>
        </is>
      </c>
      <c r="F6" s="4" t="inlineStr">
        <is>
          <t>Probeta:</t>
        </is>
      </c>
      <c r="G6" s="5" t="inlineStr">
        <is>
          <t>Graduada de 1000 mL</t>
        </is>
      </c>
    </row>
    <row r="7">
      <c r="A7" s="4" t="inlineStr">
        <is>
          <t>K Nominal Fabricante:</t>
        </is>
      </c>
      <c r="B7" s="5" t="inlineStr">
        <is>
          <t>98.00 Hz / (L/min) (5880.0 pulsos/L)</t>
        </is>
      </c>
      <c r="F7" s="4" t="inlineStr">
        <is>
          <t>K Previo Owen:</t>
        </is>
      </c>
      <c r="G7" s="5" t="inlineStr">
        <is>
          <t>154.62 Hz / (L/min) (9277.2 pulsos/L)</t>
        </is>
      </c>
    </row>
    <row r="8">
      <c r="A8" s="4" t="inlineStr">
        <is>
          <t>Operadores:</t>
        </is>
      </c>
      <c r="B8" s="5" t="inlineStr">
        <is>
          <t>Owen Cañizares / Antonella Guitián / Enzo</t>
        </is>
      </c>
      <c r="F8" s="4" t="inlineStr">
        <is>
          <t>Algoritmo:</t>
        </is>
      </c>
      <c r="G8" s="5" t="inlineStr">
        <is>
          <t>Período Recíproco con micros() en IRAM</t>
        </is>
      </c>
    </row>
    <row r="9">
      <c r="A9" s="7" t="inlineStr">
        <is>
          <t>NOTA METROLÓGICA: Ingrese en celdas amarillas (C y E) la Frecuencia promedio leída en el SCADA y el Volumen en probeta. Para RPM &gt;= 80 use 0.5 min para no desbordar 1000 mL.</t>
        </is>
      </c>
    </row>
    <row r="11">
      <c r="A11" s="8" t="inlineStr">
        <is>
          <t>Corrida
#</t>
        </is>
      </c>
      <c r="B11" s="8" t="inlineStr">
        <is>
          <t>Consigna
Bomba [RPM]</t>
        </is>
      </c>
      <c r="C11" s="8" t="inlineStr">
        <is>
          <t>Frecuencia
SCADA [Hz]</t>
        </is>
      </c>
      <c r="D11" s="8" t="inlineStr">
        <is>
          <t>Tiempo
Ensayo [min]</t>
        </is>
      </c>
      <c r="E11" s="8" t="inlineStr">
        <is>
          <t>Volumen en
Probeta [mL]</t>
        </is>
      </c>
      <c r="F11" s="8" t="inlineStr">
        <is>
          <t>Caudal Medido
Q [mL/min]</t>
        </is>
      </c>
      <c r="G11" s="8" t="inlineStr">
        <is>
          <t>Caudal Medido
Q [L/min]</t>
        </is>
      </c>
      <c r="H11" s="8" t="inlineStr">
        <is>
          <t>Factor K Puntual
[Hz / (L/min)]</t>
        </is>
      </c>
      <c r="I11" s="8" t="inlineStr">
        <is>
          <t>Pulsos por
Litro [pul/L]</t>
        </is>
      </c>
      <c r="J11" s="8" t="inlineStr">
        <is>
          <t>Q Estimado con
K=154.62 [mL/min]</t>
        </is>
      </c>
      <c r="K11" s="8" t="inlineStr">
        <is>
          <t>Desviación vs
K Previo [%]</t>
        </is>
      </c>
      <c r="L11" s="8" t="inlineStr">
        <is>
          <t>Calidad /
Linealidad</t>
        </is>
      </c>
    </row>
    <row r="12">
      <c r="A12" s="9" t="n">
        <v>1</v>
      </c>
      <c r="B12" s="10" t="n">
        <v>20</v>
      </c>
      <c r="C12" s="28" t="n"/>
      <c r="D12" s="11" t="n"/>
      <c r="E12" s="12" t="n"/>
      <c r="F12" s="13">
        <f>IF(OR(E12="",D12=""),"",E12/D12)</f>
        <v/>
      </c>
      <c r="G12" s="14">
        <f>IF(F12="","",F12/1000)</f>
        <v/>
      </c>
      <c r="H12" s="29">
        <f>IF(OR(C12="",G12=""),"",C12/G12)</f>
        <v/>
      </c>
      <c r="I12" s="13">
        <f>IF(H12="","",H12*60)</f>
        <v/>
      </c>
      <c r="J12" s="13">
        <f>IF(C12="","",(C12*1000)/154.62)</f>
        <v/>
      </c>
      <c r="K12" s="16">
        <f>IF(OR(F12="",J12=""),"",((J12-F12)/F12)*100)</f>
        <v/>
      </c>
      <c r="L12" s="17">
        <f>IF(F12="","-",IF(ABS(K12)&lt;=5,"EXCELENTE",IF(ABS(K12)&lt;=12,"BUENA","DESVIADA")))</f>
        <v/>
      </c>
    </row>
    <row r="13">
      <c r="A13" s="9" t="n">
        <v>2</v>
      </c>
      <c r="B13" s="10" t="n">
        <v>30</v>
      </c>
      <c r="C13" s="28" t="n"/>
      <c r="D13" s="11" t="n"/>
      <c r="E13" s="12" t="n"/>
      <c r="F13" s="13">
        <f>IF(OR(E13="",D13=""),"",E13/D13)</f>
        <v/>
      </c>
      <c r="G13" s="14">
        <f>IF(F13="","",F13/1000)</f>
        <v/>
      </c>
      <c r="H13" s="29">
        <f>IF(OR(C13="",G13=""),"",C13/G13)</f>
        <v/>
      </c>
      <c r="I13" s="13">
        <f>IF(H13="","",H13*60)</f>
        <v/>
      </c>
      <c r="J13" s="13">
        <f>IF(C13="","",(C13*1000)/154.62)</f>
        <v/>
      </c>
      <c r="K13" s="16">
        <f>IF(OR(F13="",J13=""),"",((J13-F13)/F13)*100)</f>
        <v/>
      </c>
      <c r="L13" s="17">
        <f>IF(F13="","-",IF(ABS(K13)&lt;=5,"EXCELENTE",IF(ABS(K13)&lt;=12,"BUENA","DESVIADA")))</f>
        <v/>
      </c>
    </row>
    <row r="14">
      <c r="A14" s="9" t="n">
        <v>3</v>
      </c>
      <c r="B14" s="10" t="n">
        <v>40</v>
      </c>
      <c r="C14" s="28" t="n"/>
      <c r="D14" s="11" t="n"/>
      <c r="E14" s="12" t="n"/>
      <c r="F14" s="13">
        <f>IF(OR(E14="",D14=""),"",E14/D14)</f>
        <v/>
      </c>
      <c r="G14" s="14">
        <f>IF(F14="","",F14/1000)</f>
        <v/>
      </c>
      <c r="H14" s="29">
        <f>IF(OR(C14="",G14=""),"",C14/G14)</f>
        <v/>
      </c>
      <c r="I14" s="13">
        <f>IF(H14="","",H14*60)</f>
        <v/>
      </c>
      <c r="J14" s="13">
        <f>IF(C14="","",(C14*1000)/154.62)</f>
        <v/>
      </c>
      <c r="K14" s="16">
        <f>IF(OR(F14="",J14=""),"",((J14-F14)/F14)*100)</f>
        <v/>
      </c>
      <c r="L14" s="17">
        <f>IF(F14="","-",IF(ABS(K14)&lt;=5,"EXCELENTE",IF(ABS(K14)&lt;=12,"BUENA","DESVIADA")))</f>
        <v/>
      </c>
    </row>
    <row r="15">
      <c r="A15" s="9" t="n">
        <v>4</v>
      </c>
      <c r="B15" s="10" t="n">
        <v>50</v>
      </c>
      <c r="C15" s="28" t="n"/>
      <c r="D15" s="11" t="n"/>
      <c r="E15" s="12" t="n"/>
      <c r="F15" s="13">
        <f>IF(OR(E15="",D15=""),"",E15/D15)</f>
        <v/>
      </c>
      <c r="G15" s="14">
        <f>IF(F15="","",F15/1000)</f>
        <v/>
      </c>
      <c r="H15" s="29">
        <f>IF(OR(C15="",G15=""),"",C15/G15)</f>
        <v/>
      </c>
      <c r="I15" s="13">
        <f>IF(H15="","",H15*60)</f>
        <v/>
      </c>
      <c r="J15" s="13">
        <f>IF(C15="","",(C15*1000)/154.62)</f>
        <v/>
      </c>
      <c r="K15" s="16">
        <f>IF(OR(F15="",J15=""),"",((J15-F15)/F15)*100)</f>
        <v/>
      </c>
      <c r="L15" s="17">
        <f>IF(F15="","-",IF(ABS(K15)&lt;=5,"EXCELENTE",IF(ABS(K15)&lt;=12,"BUENA","DESVIADA")))</f>
        <v/>
      </c>
    </row>
    <row r="16">
      <c r="A16" s="9" t="n">
        <v>5</v>
      </c>
      <c r="B16" s="10" t="n">
        <v>60</v>
      </c>
      <c r="C16" s="28" t="n"/>
      <c r="D16" s="11" t="n"/>
      <c r="E16" s="12" t="n"/>
      <c r="F16" s="13">
        <f>IF(OR(E16="",D16=""),"",E16/D16)</f>
        <v/>
      </c>
      <c r="G16" s="14">
        <f>IF(F16="","",F16/1000)</f>
        <v/>
      </c>
      <c r="H16" s="29">
        <f>IF(OR(C16="",G16=""),"",C16/G16)</f>
        <v/>
      </c>
      <c r="I16" s="13">
        <f>IF(H16="","",H16*60)</f>
        <v/>
      </c>
      <c r="J16" s="13">
        <f>IF(C16="","",(C16*1000)/154.62)</f>
        <v/>
      </c>
      <c r="K16" s="16">
        <f>IF(OR(F16="",J16=""),"",((J16-F16)/F16)*100)</f>
        <v/>
      </c>
      <c r="L16" s="17">
        <f>IF(F16="","-",IF(ABS(K16)&lt;=5,"EXCELENTE",IF(ABS(K16)&lt;=12,"BUENA","DESVIADA")))</f>
        <v/>
      </c>
    </row>
    <row r="17">
      <c r="A17" s="9" t="n">
        <v>6</v>
      </c>
      <c r="B17" s="10" t="n">
        <v>70</v>
      </c>
      <c r="C17" s="28" t="n"/>
      <c r="D17" s="11" t="n"/>
      <c r="E17" s="12" t="n"/>
      <c r="F17" s="13">
        <f>IF(OR(E17="",D17=""),"",E17/D17)</f>
        <v/>
      </c>
      <c r="G17" s="14">
        <f>IF(F17="","",F17/1000)</f>
        <v/>
      </c>
      <c r="H17" s="29">
        <f>IF(OR(C17="",G17=""),"",C17/G17)</f>
        <v/>
      </c>
      <c r="I17" s="13">
        <f>IF(H17="","",H17*60)</f>
        <v/>
      </c>
      <c r="J17" s="13">
        <f>IF(C17="","",(C17*1000)/154.62)</f>
        <v/>
      </c>
      <c r="K17" s="16">
        <f>IF(OR(F17="",J17=""),"",((J17-F17)/F17)*100)</f>
        <v/>
      </c>
      <c r="L17" s="17">
        <f>IF(F17="","-",IF(ABS(K17)&lt;=5,"EXCELENTE",IF(ABS(K17)&lt;=12,"BUENA","DESVIADA")))</f>
        <v/>
      </c>
    </row>
    <row r="18">
      <c r="A18" s="9" t="n">
        <v>7</v>
      </c>
      <c r="B18" s="10" t="n">
        <v>80</v>
      </c>
      <c r="C18" s="28" t="n"/>
      <c r="D18" s="11" t="n"/>
      <c r="E18" s="12" t="n"/>
      <c r="F18" s="13">
        <f>IF(OR(E18="",D18=""),"",E18/D18)</f>
        <v/>
      </c>
      <c r="G18" s="14">
        <f>IF(F18="","",F18/1000)</f>
        <v/>
      </c>
      <c r="H18" s="29">
        <f>IF(OR(C18="",G18=""),"",C18/G18)</f>
        <v/>
      </c>
      <c r="I18" s="13">
        <f>IF(H18="","",H18*60)</f>
        <v/>
      </c>
      <c r="J18" s="13">
        <f>IF(C18="","",(C18*1000)/154.62)</f>
        <v/>
      </c>
      <c r="K18" s="16">
        <f>IF(OR(F18="",J18=""),"",((J18-F18)/F18)*100)</f>
        <v/>
      </c>
      <c r="L18" s="17">
        <f>IF(F18="","-",IF(ABS(K18)&lt;=5,"EXCELENTE",IF(ABS(K18)&lt;=12,"BUENA","DESVIADA")))</f>
        <v/>
      </c>
    </row>
    <row r="19">
      <c r="A19" s="9" t="n">
        <v>8</v>
      </c>
      <c r="B19" s="10" t="n">
        <v>90</v>
      </c>
      <c r="C19" s="28" t="n"/>
      <c r="D19" s="11" t="n"/>
      <c r="E19" s="12" t="n"/>
      <c r="F19" s="13">
        <f>IF(OR(E19="",D19=""),"",E19/D19)</f>
        <v/>
      </c>
      <c r="G19" s="14">
        <f>IF(F19="","",F19/1000)</f>
        <v/>
      </c>
      <c r="H19" s="29">
        <f>IF(OR(C19="",G19=""),"",C19/G19)</f>
        <v/>
      </c>
      <c r="I19" s="13">
        <f>IF(H19="","",H19*60)</f>
        <v/>
      </c>
      <c r="J19" s="13">
        <f>IF(C19="","",(C19*1000)/154.62)</f>
        <v/>
      </c>
      <c r="K19" s="16">
        <f>IF(OR(F19="",J19=""),"",((J19-F19)/F19)*100)</f>
        <v/>
      </c>
      <c r="L19" s="17">
        <f>IF(F19="","-",IF(ABS(K19)&lt;=5,"EXCELENTE",IF(ABS(K19)&lt;=12,"BUENA","DESVIADA")))</f>
        <v/>
      </c>
    </row>
    <row r="21">
      <c r="A21" s="18" t="inlineStr">
        <is>
          <t>RESUMEN METROLÓGICO Y REGRESIÓN LINEAL (FRECUENCIA vs CAUDAL)</t>
        </is>
      </c>
    </row>
    <row r="22">
      <c r="A22" s="19" t="inlineStr">
        <is>
          <t>Factor K Promedio (Media Aritmética):</t>
        </is>
      </c>
      <c r="B22" s="34" t="n"/>
      <c r="C22" s="23">
        <f>AVERAGE(H12:H19)</f>
        <v/>
      </c>
      <c r="D22" s="22" t="inlineStr">
        <is>
          <t>Hz / (L/min)</t>
        </is>
      </c>
      <c r="E22" s="20" t="n"/>
      <c r="F22" s="20" t="n"/>
      <c r="G22" s="20" t="n"/>
    </row>
    <row r="23">
      <c r="A23" s="19" t="inlineStr">
        <is>
          <t>Desviación Estándar de K (σ):</t>
        </is>
      </c>
      <c r="B23" s="34" t="n"/>
      <c r="C23" s="23">
        <f>STDEV.S(H12:H19)</f>
        <v/>
      </c>
      <c r="D23" s="22" t="inlineStr">
        <is>
          <t>Hz / (L/min)</t>
        </is>
      </c>
      <c r="E23" s="20" t="n"/>
      <c r="F23" s="20" t="n"/>
      <c r="G23" s="20" t="n"/>
    </row>
    <row r="24">
      <c r="A24" s="19" t="inlineStr">
        <is>
          <t>Coeficiente de Variación de K (CV%):</t>
        </is>
      </c>
      <c r="B24" s="34" t="n"/>
      <c r="C24" s="23">
        <f>(C23/C22)*100</f>
        <v/>
      </c>
      <c r="D24" s="22" t="inlineStr">
        <is>
          <t>%</t>
        </is>
      </c>
      <c r="E24" s="20" t="n"/>
      <c r="F24" s="20" t="n"/>
      <c r="G24" s="20" t="n"/>
    </row>
    <row r="25">
      <c r="A25" s="19" t="inlineStr">
        <is>
          <t>Pulsos por Litro Promedio:</t>
        </is>
      </c>
      <c r="B25" s="34" t="n"/>
      <c r="C25" s="30">
        <f>AVERAGE(I12:I19)</f>
        <v/>
      </c>
      <c r="D25" s="22" t="inlineStr">
        <is>
          <t>pulsos/Litro</t>
        </is>
      </c>
      <c r="E25" s="20" t="n"/>
      <c r="F25" s="20" t="n"/>
      <c r="G25" s="20" t="n"/>
    </row>
    <row r="26">
      <c r="A26" s="19" t="inlineStr">
        <is>
          <t>Factor K por Regresión Lineal (Pendiente F vs Q [L/min]):</t>
        </is>
      </c>
      <c r="B26" s="34" t="n"/>
      <c r="C26" s="23">
        <f>SLOPE(C12:C19,G12:G19)</f>
        <v/>
      </c>
      <c r="D26" s="22" t="inlineStr">
        <is>
          <t>Hz / (L/min)</t>
        </is>
      </c>
      <c r="E26" s="20" t="n"/>
      <c r="F26" s="20" t="n"/>
      <c r="G26" s="20" t="n"/>
    </row>
    <row r="27">
      <c r="A27" s="19" t="inlineStr">
        <is>
          <t>Ordenada al Origen de Regresión (Offset):</t>
        </is>
      </c>
      <c r="B27" s="34" t="n"/>
      <c r="C27" s="23">
        <f>INTERCEPT(C12:C19,G12:G19)</f>
        <v/>
      </c>
      <c r="D27" s="22" t="inlineStr">
        <is>
          <t>Hz</t>
        </is>
      </c>
      <c r="E27" s="20" t="n"/>
      <c r="F27" s="20" t="n"/>
      <c r="G27" s="20" t="n"/>
    </row>
    <row r="28">
      <c r="A28" s="19" t="inlineStr">
        <is>
          <t>Coeficiente de Determinación (R²):</t>
        </is>
      </c>
      <c r="B28" s="34" t="n"/>
      <c r="C28" s="21">
        <f>RSQ(C12:C19,G12:G19)</f>
        <v/>
      </c>
      <c r="D28" s="22" t="inlineStr">
        <is>
          <t>-</t>
        </is>
      </c>
      <c r="E28" s="20" t="n"/>
      <c r="F28" s="20" t="n"/>
      <c r="G28" s="20" t="n"/>
    </row>
    <row r="30">
      <c r="A30" s="24" t="inlineStr">
        <is>
          <t>PARÁMETROS DEFINITIVOS DE CALIBRACIÓN PARA EL FIRMWARE / SCADA</t>
        </is>
      </c>
      <c r="B30" s="35" t="n"/>
      <c r="C30" s="35" t="n"/>
      <c r="D30" s="35" t="n"/>
      <c r="E30" s="35" t="n"/>
      <c r="F30" s="35" t="n"/>
      <c r="G30" s="36" t="n"/>
    </row>
    <row r="31">
      <c r="A31" s="31" t="inlineStr">
        <is>
          <t>Factor K Alimentación (K_ALIMENTACION):</t>
        </is>
      </c>
      <c r="B31" s="35" t="n"/>
      <c r="C31" s="35" t="n"/>
      <c r="D31" s="36" t="n"/>
      <c r="E31" s="32">
        <f>C26</f>
        <v/>
      </c>
      <c r="F31" s="35" t="n"/>
      <c r="G31" s="36" t="n"/>
    </row>
    <row r="32">
      <c r="A32" s="31" t="inlineStr">
        <is>
          <t>Equivalencia en Pulsos por Litro:</t>
        </is>
      </c>
      <c r="B32" s="35" t="n"/>
      <c r="C32" s="35" t="n"/>
      <c r="D32" s="36" t="n"/>
      <c r="E32" s="33">
        <f>E31*60</f>
        <v/>
      </c>
      <c r="F32" s="35" t="n"/>
      <c r="G32" s="36" t="n"/>
    </row>
    <row r="33">
      <c r="A33" s="27" t="inlineStr">
        <is>
          <t>Ubicación en código: config.h -&gt; constexpr float K_ALIMENTACION | En Web: Modo Desarrollador -&gt; Factor K Alimentación</t>
        </is>
      </c>
      <c r="B33" s="35" t="n"/>
      <c r="C33" s="35" t="n"/>
      <c r="D33" s="35" t="n"/>
      <c r="E33" s="35" t="n"/>
      <c r="F33" s="35" t="n"/>
      <c r="G33" s="36" t="n"/>
    </row>
  </sheetData>
  <mergeCells count="26">
    <mergeCell ref="A24:B24"/>
    <mergeCell ref="G6:L6"/>
    <mergeCell ref="B6:E6"/>
    <mergeCell ref="E31:G31"/>
    <mergeCell ref="B5:E5"/>
    <mergeCell ref="A3:L3"/>
    <mergeCell ref="A2:L2"/>
    <mergeCell ref="A31:D31"/>
    <mergeCell ref="G5:L5"/>
    <mergeCell ref="A25:B25"/>
    <mergeCell ref="B7:E7"/>
    <mergeCell ref="A30:G30"/>
    <mergeCell ref="A27:B27"/>
    <mergeCell ref="E32:G32"/>
    <mergeCell ref="A26:B26"/>
    <mergeCell ref="A9:L9"/>
    <mergeCell ref="A23:B23"/>
    <mergeCell ref="A22:B22"/>
    <mergeCell ref="B8:E8"/>
    <mergeCell ref="A21:G21"/>
    <mergeCell ref="A1:L1"/>
    <mergeCell ref="A28:B28"/>
    <mergeCell ref="G8:L8"/>
    <mergeCell ref="A33:G33"/>
    <mergeCell ref="A32:D32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2026-10-02T17:06:35Z</dcterms:created>
  <dcterms:modified xmlns:dcterms="http://purl.org/dc/terms/" xmlns:xsi="http://www.w3.org/2001/XMLSchema-instance" xsi:type="dcterms:W3CDTF">2026-10-02T19:52:45Z</dcterms:modified>
</cp:coreProperties>
</file>