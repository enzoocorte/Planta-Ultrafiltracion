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nsayo 2 - Bomba (mL-rev)" sheetId="1" state="visible" r:id="rId2"/>
    <sheet name="Ensayo 3 - Caudal Alimentacio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<sst xmlns="http://schemas.openxmlformats.org/spreadsheetml/2006/main" count="97" uniqueCount="81">
  <si>
    <t xml:space="preserve">PLANTA PILOTO DE ULTRAFILTRACIÓN FX100 — UNIVERSIDAD NACIONAL DE SALTA</t>
  </si>
  <si>
    <t xml:space="preserve">ENSAYO 2: CALIBRACIÓN CINEMÁTICA Y VOLUMÉTRICA DE LA BOMBA PERISTÁLTICA MBP-2000</t>
  </si>
  <si>
    <t xml:space="preserve">Determinación Experimental del Desplazamiento por Revolución (Cilindrada en mL/rev) mediante Probeta de 1000 mL</t>
  </si>
  <si>
    <t xml:space="preserve">Instrumento:</t>
  </si>
  <si>
    <t xml:space="preserve">Probeta Graduada de 1000 mL</t>
  </si>
  <si>
    <t xml:space="preserve">Manguera:</t>
  </si>
  <si>
    <t xml:space="preserve">Silicona Flexible APM (Øint 12 mm, Øext 18 mm)</t>
  </si>
  <si>
    <t xml:space="preserve">Fluido de Ensayo:</t>
  </si>
  <si>
    <t xml:space="preserve">Agua Desionizada / Limpia a 20 °C</t>
  </si>
  <si>
    <t xml:space="preserve">Cabezal:</t>
  </si>
  <si>
    <t xml:space="preserve">MBP-2000 (Rotor 3 rodillos a 120°)</t>
  </si>
  <si>
    <t xml:space="preserve">Driver Motor:</t>
  </si>
  <si>
    <t xml:space="preserve">Leadshine DM860 (3200 pulsos/rev - 1/16 micropasos)</t>
  </si>
  <si>
    <t xml:space="preserve">Motor:</t>
  </si>
  <si>
    <t xml:space="preserve">Paso a Paso NEMA 34 (4.0 N·m)</t>
  </si>
  <si>
    <t xml:space="preserve">Operadores:</t>
  </si>
  <si>
    <t xml:space="preserve">Owen Cañizares / Antonella Guitián / Enzo</t>
  </si>
  <si>
    <t xml:space="preserve">Ubicación:</t>
  </si>
  <si>
    <t xml:space="preserve">Laboratorio de Operaciones Unitarias - UNSa</t>
  </si>
  <si>
    <t xml:space="preserve">NOTA OPERATIVA: Ingrese los datos en las celdas amarillas (D y E). Para RPM &lt;= 70 use tiempo de 1.0 min (entra en probeta 1000 mL). Para RPM &gt;= 80 use 0.5 min para evitar desborde.</t>
  </si>
  <si>
    <t xml:space="preserve">Corrida
#</t>
  </si>
  <si>
    <t xml:space="preserve">Consigna
Bomba [RPM]</t>
  </si>
  <si>
    <t xml:space="preserve">Tiempo
Ensayo [min]</t>
  </si>
  <si>
    <t xml:space="preserve">Volumen en
Probeta [mL]</t>
  </si>
  <si>
    <t xml:space="preserve">Caudal Medido
Q [mL/min]</t>
  </si>
  <si>
    <t xml:space="preserve">Caudal Medido
Q [L/min]</t>
  </si>
  <si>
    <t xml:space="preserve">Cilindrada
[mL/rev]</t>
  </si>
  <si>
    <t xml:space="preserve">Caudal Nominal
Previo [mL/min]</t>
  </si>
  <si>
    <t xml:space="preserve">Desviación vs
13.60 mL/rev [%]</t>
  </si>
  <si>
    <t xml:space="preserve">Estado /
Linealidad</t>
  </si>
  <si>
    <t xml:space="preserve">RESUMEN ESTADÍSTICO Y REGRESIÓN LINEAL (CAUDAL vs RPM)</t>
  </si>
  <si>
    <t xml:space="preserve">Cilindrada Media (Promedio Aritmético):</t>
  </si>
  <si>
    <t xml:space="preserve">mL/rev</t>
  </si>
  <si>
    <t xml:space="preserve">Desviación Estándar Muestral (σ):</t>
  </si>
  <si>
    <t xml:space="preserve">Coeficiente de Variación (CV%):</t>
  </si>
  <si>
    <t xml:space="preserve">%</t>
  </si>
  <si>
    <t xml:space="preserve">Pendiente de Regresión Q vs RPM (Cilindrada):</t>
  </si>
  <si>
    <t xml:space="preserve">Ordenada al Origen de Regresión (b):</t>
  </si>
  <si>
    <t xml:space="preserve">mL/min</t>
  </si>
  <si>
    <t xml:space="preserve">Coeficiente de Determinación (R²):</t>
  </si>
  <si>
    <t xml:space="preserve">-</t>
  </si>
  <si>
    <t xml:space="preserve">PARÁMETRO DEFINITIVO PARA EL FIRMWARE / SCADA</t>
  </si>
  <si>
    <t xml:space="preserve">Cilindrada Calibrada Bomba (ML_POR_VUELTA):</t>
  </si>
  <si>
    <t xml:space="preserve">Ubicación en código: config.h -&gt; constexpr float ML_POR_VUELTA | En Web: Modo Desarrollador -&gt; Cilindrada Bomba</t>
  </si>
  <si>
    <t xml:space="preserve">ENSAYO 3: CALIBRACIÓN DEL CAUDALÍMETRO DE ALIMENTACIÓN YF-S401 (BORNE 12 / GPIO 14)</t>
  </si>
  <si>
    <t xml:space="preserve">Determinación Experimental de la Constante de Transducción K en [Hz / (L/min)] y Pulsos por Litro mediante Probeta</t>
  </si>
  <si>
    <t xml:space="preserve">Sensor:</t>
  </si>
  <si>
    <t xml:space="preserve">Efecto Hall YF-S401 (Impulsión / Alimentación)</t>
  </si>
  <si>
    <t xml:space="preserve">Pin ESP32:</t>
  </si>
  <si>
    <t xml:space="preserve">GPIO 14 (Borne 12 Superior)</t>
  </si>
  <si>
    <t xml:space="preserve">Front-End:</t>
  </si>
  <si>
    <t xml:space="preserve">Filtro RC analógico (fc ≈ 338 Hz) + Blanking 1500 µs</t>
  </si>
  <si>
    <t xml:space="preserve">Probeta:</t>
  </si>
  <si>
    <t xml:space="preserve">Graduada de 1000 mL</t>
  </si>
  <si>
    <t xml:space="preserve">K Nominal Fabricante:</t>
  </si>
  <si>
    <t xml:space="preserve">98.00 Hz / (L/min) (5880.0 pulsos/L)</t>
  </si>
  <si>
    <t xml:space="preserve">K Previo Owen:</t>
  </si>
  <si>
    <t xml:space="preserve">154.62 Hz / (L/min) (9277.2 pulsos/L)</t>
  </si>
  <si>
    <t xml:space="preserve">Algoritmo:</t>
  </si>
  <si>
    <t xml:space="preserve">Período Recíproco con micros() en IRAM</t>
  </si>
  <si>
    <t xml:space="preserve">NOTA METROLÓGICA: Ingrese en celdas amarillas (C y E) la Frecuencia promedio leída en el SCADA y el Volumen en probeta. Para RPM &gt;= 80 use 0.5 min para no desbordar 1000 mL.</t>
  </si>
  <si>
    <t xml:space="preserve">Frecuencia
SCADA [Hz]</t>
  </si>
  <si>
    <t xml:space="preserve">Factor K Puntual
[Hz / (L/min)]</t>
  </si>
  <si>
    <t xml:space="preserve">Pulsos por
Litro [pul/L]</t>
  </si>
  <si>
    <t xml:space="preserve">Q Estimado con
K Calibrado [mL/min]</t>
  </si>
  <si>
    <t xml:space="preserve">Error Residual
vs Probeta [%]</t>
  </si>
  <si>
    <t xml:space="preserve">Calidad /
Linealidad</t>
  </si>
  <si>
    <t xml:space="preserve">RESUMEN METROLÓGICO Y REGRESIÓN LINEAL (FRECUENCIA vs CAUDAL)</t>
  </si>
  <si>
    <t xml:space="preserve">Factor K Promedio (Media Aritmética):</t>
  </si>
  <si>
    <t xml:space="preserve">Hz / (L/min)</t>
  </si>
  <si>
    <t xml:space="preserve">Desviación Estándar de K (σ):</t>
  </si>
  <si>
    <t xml:space="preserve">Coeficiente de Variación de K (CV%):</t>
  </si>
  <si>
    <t xml:space="preserve">Pulsos por Litro Promedio:</t>
  </si>
  <si>
    <t xml:space="preserve">pulsos/Litro</t>
  </si>
  <si>
    <t xml:space="preserve">Factor K por Regresión Lineal (Pendiente F vs Q [L/min]):</t>
  </si>
  <si>
    <t xml:space="preserve">Ordenada al Origen de Regresión (Offset):</t>
  </si>
  <si>
    <t xml:space="preserve">Hz</t>
  </si>
  <si>
    <t xml:space="preserve">PARÁMETROS DEFINITIVOS DE CALIBRACIÓN PARA EL FIRMWARE / SCADA</t>
  </si>
  <si>
    <t xml:space="preserve">Factor K Alimentación (K_ALIMENTACION):</t>
  </si>
  <si>
    <t xml:space="preserve">Equivalencia en Pulsos por Litro:</t>
  </si>
  <si>
    <t xml:space="preserve">Ubicación en código: config.h -&gt; constexpr float K_ALIMENTACION | En Web: Modo Desarrollador -&gt; Factor K Alimentación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</si>
</sst>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0.00"/>
    <numFmt numFmtId="167" formatCode="0.000"/>
    <numFmt numFmtId="168" formatCode="0.0000"/>
    <numFmt numFmtId="169" formatCode="\+0.00%;\-0.00%;0.00%"/>
    <numFmt numFmtId="170" formatCode="General"/>
    <numFmt numFmtId="171" formatCode="0.0000&quot; mL/rev&quot;"/>
    <numFmt numFmtId="172" formatCode="0.00&quot; Hz/(L/min)&quot;"/>
    <numFmt numFmtId="173" formatCode="#,##0.0&quot; pul/L&quot;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65D"/>
      <name val="Calibri"/>
      <family val="0"/>
      <charset val="1"/>
    </font>
    <font>
      <b val="true"/>
      <sz val="11"/>
      <color rgb="FF2B6CB0"/>
      <name val="Calibri"/>
      <family val="0"/>
      <charset val="1"/>
    </font>
    <font>
      <i val="true"/>
      <sz val="9"/>
      <color rgb="FF4A5568"/>
      <name val="Calibri"/>
      <family val="0"/>
      <charset val="1"/>
    </font>
    <font>
      <b val="true"/>
      <sz val="9"/>
      <color rgb="FF2D3748"/>
      <name val="Calibri"/>
      <family val="0"/>
      <charset val="1"/>
    </font>
    <font>
      <sz val="9"/>
      <color rgb="FF1A202C"/>
      <name val="Calibri"/>
      <family val="0"/>
      <charset val="1"/>
    </font>
    <font>
      <b val="true"/>
      <sz val="9"/>
      <color rgb="FFC5303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A202C"/>
      <name val="Calibri"/>
      <family val="0"/>
      <charset val="1"/>
    </font>
    <font>
      <b val="true"/>
      <sz val="10"/>
      <color rgb="FF1A202C"/>
      <name val="Calibri"/>
      <family val="0"/>
      <charset val="1"/>
    </font>
    <font>
      <b val="true"/>
      <sz val="11"/>
      <color rgb="FF22543D"/>
      <name val="Calibri"/>
      <family val="0"/>
      <charset val="1"/>
    </font>
    <font>
      <b val="true"/>
      <sz val="14"/>
      <color rgb="FF22543D"/>
      <name val="Calibri"/>
      <family val="0"/>
      <charset val="1"/>
    </font>
    <font>
      <i val="true"/>
      <sz val="9"/>
      <color rgb="FF27674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BF8FF"/>
        <bgColor rgb="FFEDF2F7"/>
      </patternFill>
    </fill>
    <fill>
      <patternFill patternType="solid">
        <fgColor rgb="FFF7FAFC"/>
        <bgColor rgb="FFFFFFFF"/>
      </patternFill>
    </fill>
    <fill>
      <patternFill patternType="solid">
        <fgColor rgb="FF1A365D"/>
        <bgColor rgb="FF2D3748"/>
      </patternFill>
    </fill>
    <fill>
      <patternFill patternType="solid">
        <fgColor rgb="FFEDF2F7"/>
        <bgColor rgb="FFEBF8FF"/>
      </patternFill>
    </fill>
    <fill>
      <patternFill patternType="solid">
        <fgColor rgb="FFFEFCBF"/>
        <bgColor rgb="FFF7FAFC"/>
      </patternFill>
    </fill>
    <fill>
      <patternFill patternType="solid">
        <fgColor rgb="FF2C5282"/>
        <bgColor rgb="FF4A5568"/>
      </patternFill>
    </fill>
    <fill>
      <patternFill patternType="solid">
        <fgColor rgb="FFC6F6D5"/>
        <bgColor rgb="FFEDF2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 diagonalUp="false" diagonalDown="false">
      <left style="medium">
        <color rgb="FF22543D"/>
      </left>
      <right style="medium">
        <color rgb="FF22543D"/>
      </right>
      <top style="medium">
        <color rgb="FF22543D"/>
      </top>
      <bottom style="medium">
        <color rgb="FF2254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6749"/>
      <rgbColor rgb="FFD9D9D9"/>
      <rgbColor rgb="FF878787"/>
      <rgbColor rgb="FF9999FF"/>
      <rgbColor rgb="FF993366"/>
      <rgbColor rgb="FFFEFCBF"/>
      <rgbColor rgb="FFEBF8FF"/>
      <rgbColor rgb="FF660066"/>
      <rgbColor rgb="FFFF8080"/>
      <rgbColor rgb="FF2B6CB0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7"/>
      <rgbColor rgb="FFC6F6D5"/>
      <rgbColor rgb="FFF7FAFC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4A5568"/>
      <rgbColor rgb="FF969696"/>
      <rgbColor rgb="FF1A365D"/>
      <rgbColor rgb="FF339966"/>
      <rgbColor rgb="FF22543D"/>
      <rgbColor rgb="FF1A202C"/>
      <rgbColor rgb="FFC53030"/>
      <rgbColor rgb="FF993366"/>
      <rgbColor rgb="FF2C5282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Característica Bomba MBP-2000 (Caudal Q vs RPM)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"Datos Experimentales"</c:f>
              <c:strCache>
                <c:ptCount val="1"/>
                <c:pt idx="0">
                  <c:v>Datos Experimentales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'Ensayo 2 - Bomba (mL-rev)'!$B$12:$B$19</c:f>
              <c:numCache>
                <c:formatCode>General</c:formatCode>
                <c:ptCount val="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</c:numCache>
            </c:numRef>
          </c:xVal>
          <c:yVal>
            <c:numRef>
              <c:f>'Ensayo 2 - Bomba (mL-rev)'!$E$12:$E$19</c:f>
              <c:numCache>
                <c:formatCode>General</c:formatCode>
                <c:ptCount val="8"/>
                <c:pt idx="0">
                  <c:v>280</c:v>
                </c:pt>
                <c:pt idx="1">
                  <c:v>430</c:v>
                </c:pt>
                <c:pt idx="2">
                  <c:v>597</c:v>
                </c:pt>
                <c:pt idx="3">
                  <c:v>720</c:v>
                </c:pt>
                <c:pt idx="4">
                  <c:v>820</c:v>
                </c:pt>
                <c:pt idx="5">
                  <c:v>915</c:v>
                </c:pt>
                <c:pt idx="6">
                  <c:v>960</c:v>
                </c:pt>
                <c:pt idx="7">
                  <c:v>1080</c:v>
                </c:pt>
              </c:numCache>
            </c:numRef>
          </c:yVal>
          <c:smooth val="1"/>
        </c:ser>
        <c:axId val="42490838"/>
        <c:axId val="71706295"/>
      </c:scatterChart>
      <c:valAx>
        <c:axId val="424908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 de Bomba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06295"/>
        <c:crosses val="autoZero"/>
        <c:crossBetween val="midCat"/>
      </c:valAx>
      <c:valAx>
        <c:axId val="717062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Caudal Medido Q (mL/min)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9083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 de Calibración Caudalímetro YF-S401 (Frecuencia vs Caudal)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"Curva Experimental"</c:f>
              <c:strCache>
                <c:ptCount val="1"/>
                <c:pt idx="0">
                  <c:v>Curva Experimental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'Ensayo 3 - Caudal Alimentacion'!$G$12:$G$19</c:f>
              <c:numCache>
                <c:formatCode>General</c:formatCode>
                <c:ptCount val="8"/>
                <c:pt idx="0">
                  <c:v>0.28</c:v>
                </c:pt>
                <c:pt idx="1">
                  <c:v>0.43</c:v>
                </c:pt>
                <c:pt idx="2">
                  <c:v>0.597</c:v>
                </c:pt>
                <c:pt idx="3">
                  <c:v>0.72</c:v>
                </c:pt>
                <c:pt idx="4">
                  <c:v>0.82</c:v>
                </c:pt>
                <c:pt idx="5">
                  <c:v>0.915</c:v>
                </c:pt>
                <c:pt idx="6">
                  <c:v>0.96</c:v>
                </c:pt>
                <c:pt idx="7">
                  <c:v>1.08</c:v>
                </c:pt>
              </c:numCache>
            </c:numRef>
          </c:xVal>
          <c:yVal>
            <c:numRef>
              <c:f>'Ensayo 3 - Caudal Alimentacion'!$C$12:$C$19</c:f>
              <c:numCache>
                <c:formatCode>General</c:formatCode>
                <c:ptCount val="8"/>
                <c:pt idx="0">
                  <c:v>60</c:v>
                </c:pt>
                <c:pt idx="1">
                  <c:v>100</c:v>
                </c:pt>
                <c:pt idx="2">
                  <c:v>130</c:v>
                </c:pt>
                <c:pt idx="3">
                  <c:v>150</c:v>
                </c:pt>
                <c:pt idx="4">
                  <c:v>160</c:v>
                </c:pt>
                <c:pt idx="5">
                  <c:v>180</c:v>
                </c:pt>
                <c:pt idx="6">
                  <c:v>190</c:v>
                </c:pt>
                <c:pt idx="7">
                  <c:v>200</c:v>
                </c:pt>
              </c:numCache>
            </c:numRef>
          </c:yVal>
          <c:smooth val="1"/>
        </c:ser>
        <c:axId val="96333590"/>
        <c:axId val="32080566"/>
      </c:scatterChart>
      <c:valAx>
        <c:axId val="963335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Caudal Medido Q (L/min)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80566"/>
        <c:crosses val="autoZero"/>
        <c:crossBetween val="midCat"/>
      </c:valAx>
      <c:valAx>
        <c:axId val="320805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Frecuencia Generada F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335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21</xdr:col>
      <xdr:colOff>364680</xdr:colOff>
      <xdr:row>25</xdr:row>
      <xdr:rowOff>128880</xdr:rowOff>
    </xdr:to>
    <xdr:graphicFrame>
      <xdr:nvGraphicFramePr>
        <xdr:cNvPr id="0" name="Chart 1"/>
        <xdr:cNvGraphicFramePr/>
      </xdr:nvGraphicFramePr>
      <xdr:xfrm>
        <a:off x="10267920" y="571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3</xdr:row>
      <xdr:rowOff>0</xdr:rowOff>
    </xdr:from>
    <xdr:to>
      <xdr:col>23</xdr:col>
      <xdr:colOff>364680</xdr:colOff>
      <xdr:row>25</xdr:row>
      <xdr:rowOff>128880</xdr:rowOff>
    </xdr:to>
    <xdr:graphicFrame>
      <xdr:nvGraphicFramePr>
        <xdr:cNvPr id="1" name="Chart 1"/>
        <xdr:cNvGraphicFramePr/>
      </xdr:nvGraphicFramePr>
      <xdr:xfrm>
        <a:off x="12382560" y="571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9" min="8" style="0" width="16"/>
    <col collapsed="false" customWidth="true" hidden="false" outlineLevel="0" max="10" min="10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E5" s="4" t="s">
        <v>5</v>
      </c>
      <c r="F5" s="5" t="s">
        <v>6</v>
      </c>
      <c r="G5" s="5"/>
      <c r="H5" s="5"/>
      <c r="I5" s="5"/>
      <c r="J5" s="5"/>
    </row>
    <row r="6" customFormat="false" ht="15" hidden="false" customHeight="false" outlineLevel="0" collapsed="false">
      <c r="A6" s="4" t="s">
        <v>7</v>
      </c>
      <c r="B6" s="5" t="s">
        <v>8</v>
      </c>
      <c r="C6" s="5"/>
      <c r="D6" s="5"/>
      <c r="E6" s="4" t="s">
        <v>9</v>
      </c>
      <c r="F6" s="5" t="s">
        <v>10</v>
      </c>
      <c r="G6" s="5"/>
      <c r="H6" s="5"/>
      <c r="I6" s="5"/>
      <c r="J6" s="5"/>
    </row>
    <row r="7" customFormat="false" ht="15" hidden="false" customHeight="false" outlineLevel="0" collapsed="false">
      <c r="A7" s="4" t="s">
        <v>11</v>
      </c>
      <c r="B7" s="5" t="s">
        <v>12</v>
      </c>
      <c r="C7" s="5"/>
      <c r="D7" s="5"/>
      <c r="E7" s="4" t="s">
        <v>13</v>
      </c>
      <c r="F7" s="5" t="s">
        <v>14</v>
      </c>
      <c r="G7" s="5"/>
      <c r="H7" s="5"/>
      <c r="I7" s="5"/>
      <c r="J7" s="5"/>
    </row>
    <row r="8" customFormat="false" ht="15" hidden="false" customHeight="false" outlineLevel="0" collapsed="false">
      <c r="A8" s="4" t="s">
        <v>15</v>
      </c>
      <c r="B8" s="5" t="s">
        <v>16</v>
      </c>
      <c r="C8" s="5"/>
      <c r="D8" s="5"/>
      <c r="E8" s="4" t="s">
        <v>17</v>
      </c>
      <c r="F8" s="5" t="s">
        <v>18</v>
      </c>
      <c r="G8" s="5"/>
      <c r="H8" s="5"/>
      <c r="I8" s="5"/>
      <c r="J8" s="5"/>
    </row>
    <row r="9" customFormat="false" ht="15" hidden="false" customHeight="false" outlineLevel="0" collapsed="false">
      <c r="A9" s="6" t="s">
        <v>19</v>
      </c>
      <c r="B9" s="6"/>
      <c r="C9" s="6"/>
      <c r="D9" s="6"/>
      <c r="E9" s="6"/>
      <c r="F9" s="6"/>
      <c r="G9" s="6"/>
      <c r="H9" s="6"/>
      <c r="I9" s="6"/>
      <c r="J9" s="6"/>
    </row>
    <row r="11" customFormat="false" ht="15" hidden="false" customHeight="false" outlineLevel="0" collapsed="false">
      <c r="A11" s="7" t="s">
        <v>20</v>
      </c>
      <c r="B11" s="7" t="s">
        <v>21</v>
      </c>
      <c r="C11" s="7" t="s">
        <v>22</v>
      </c>
      <c r="D11" s="7" t="s">
        <v>23</v>
      </c>
      <c r="E11" s="7" t="s">
        <v>24</v>
      </c>
      <c r="F11" s="7" t="s">
        <v>25</v>
      </c>
      <c r="G11" s="7" t="s">
        <v>26</v>
      </c>
      <c r="H11" s="7" t="s">
        <v>27</v>
      </c>
      <c r="I11" s="7" t="s">
        <v>28</v>
      </c>
      <c r="J11" s="7" t="s">
        <v>29</v>
      </c>
    </row>
    <row r="12" customFormat="false" ht="15" hidden="false" customHeight="false" outlineLevel="0" collapsed="false">
      <c r="A12" s="8" t="n">
        <v>1</v>
      </c>
      <c r="B12" s="9" t="n">
        <v>20</v>
      </c>
      <c r="C12" s="10" t="n">
        <v>1</v>
      </c>
      <c r="D12" s="11" t="n">
        <v>280</v>
      </c>
      <c r="E12" s="12" t="n">
        <f aca="false">IF(OR(D12="",C12=""),"",D12/C12)</f>
        <v>280</v>
      </c>
      <c r="F12" s="13" t="n">
        <f aca="false">IF(E12="","",E12/1000)</f>
        <v>0.28</v>
      </c>
      <c r="G12" s="14" t="n">
        <f aca="false">IF(OR(B12="",E12=""),"",E12/B12)</f>
        <v>14</v>
      </c>
      <c r="H12" s="12" t="n">
        <f aca="false">IF(B12="","",B12*13.6)</f>
        <v>272</v>
      </c>
      <c r="I12" s="15" t="n">
        <f aca="false">IF(OR(G12="",E12=""),"",((G12-13.6)/13.6)*100)</f>
        <v>2.94117647058824</v>
      </c>
      <c r="J12" s="16" t="str">
        <f aca="false">IF(E12="","-",IF(ABS(I12)&lt;=10,"OK","REVISAR"))</f>
        <v>OK</v>
      </c>
    </row>
    <row r="13" customFormat="false" ht="15" hidden="false" customHeight="false" outlineLevel="0" collapsed="false">
      <c r="A13" s="8" t="n">
        <v>2</v>
      </c>
      <c r="B13" s="9" t="n">
        <v>30</v>
      </c>
      <c r="C13" s="10" t="n">
        <v>1</v>
      </c>
      <c r="D13" s="11" t="n">
        <v>430</v>
      </c>
      <c r="E13" s="12" t="n">
        <f aca="false">IF(OR(D13="",C13=""),"",D13/C13)</f>
        <v>430</v>
      </c>
      <c r="F13" s="13" t="n">
        <f aca="false">IF(E13="","",E13/1000)</f>
        <v>0.43</v>
      </c>
      <c r="G13" s="14" t="n">
        <f aca="false">IF(OR(B13="",E13=""),"",E13/B13)</f>
        <v>14.3333333333333</v>
      </c>
      <c r="H13" s="12" t="n">
        <f aca="false">IF(B13="","",B13*13.6)</f>
        <v>408</v>
      </c>
      <c r="I13" s="15" t="n">
        <f aca="false">IF(OR(G13="",E13=""),"",((G13-13.6)/13.6)*100)</f>
        <v>5.39215686274511</v>
      </c>
      <c r="J13" s="16" t="str">
        <f aca="false">IF(E13="","-",IF(ABS(I13)&lt;=10,"OK","REVISAR"))</f>
        <v>OK</v>
      </c>
    </row>
    <row r="14" customFormat="false" ht="15" hidden="false" customHeight="false" outlineLevel="0" collapsed="false">
      <c r="A14" s="8" t="n">
        <v>3</v>
      </c>
      <c r="B14" s="9" t="n">
        <v>40</v>
      </c>
      <c r="C14" s="10" t="n">
        <v>1</v>
      </c>
      <c r="D14" s="11" t="n">
        <v>597</v>
      </c>
      <c r="E14" s="12" t="n">
        <f aca="false">IF(OR(D14="",C14=""),"",D14/C14)</f>
        <v>597</v>
      </c>
      <c r="F14" s="13" t="n">
        <f aca="false">IF(E14="","",E14/1000)</f>
        <v>0.597</v>
      </c>
      <c r="G14" s="14" t="n">
        <f aca="false">IF(OR(B14="",E14=""),"",E14/B14)</f>
        <v>14.925</v>
      </c>
      <c r="H14" s="12" t="n">
        <f aca="false">IF(B14="","",B14*13.6)</f>
        <v>544</v>
      </c>
      <c r="I14" s="15" t="n">
        <f aca="false">IF(OR(G14="",E14=""),"",((G14-13.6)/13.6)*100)</f>
        <v>9.74264705882354</v>
      </c>
      <c r="J14" s="16" t="str">
        <f aca="false">IF(E14="","-",IF(ABS(I14)&lt;=10,"OK","REVISAR"))</f>
        <v>OK</v>
      </c>
    </row>
    <row r="15" customFormat="false" ht="15" hidden="false" customHeight="false" outlineLevel="0" collapsed="false">
      <c r="A15" s="8" t="n">
        <v>4</v>
      </c>
      <c r="B15" s="9" t="n">
        <v>50</v>
      </c>
      <c r="C15" s="10" t="n">
        <v>1</v>
      </c>
      <c r="D15" s="11" t="n">
        <v>720</v>
      </c>
      <c r="E15" s="12" t="n">
        <f aca="false">IF(OR(D15="",C15=""),"",D15/C15)</f>
        <v>720</v>
      </c>
      <c r="F15" s="13" t="n">
        <f aca="false">IF(E15="","",E15/1000)</f>
        <v>0.72</v>
      </c>
      <c r="G15" s="14" t="n">
        <f aca="false">IF(OR(B15="",E15=""),"",E15/B15)</f>
        <v>14.4</v>
      </c>
      <c r="H15" s="12" t="n">
        <f aca="false">IF(B15="","",B15*13.6)</f>
        <v>680</v>
      </c>
      <c r="I15" s="15" t="n">
        <f aca="false">IF(OR(G15="",E15=""),"",((G15-13.6)/13.6)*100)</f>
        <v>5.88235294117648</v>
      </c>
      <c r="J15" s="16" t="str">
        <f aca="false">IF(E15="","-",IF(ABS(I15)&lt;=10,"OK","REVISAR"))</f>
        <v>OK</v>
      </c>
    </row>
    <row r="16" customFormat="false" ht="15" hidden="false" customHeight="false" outlineLevel="0" collapsed="false">
      <c r="A16" s="8" t="n">
        <v>5</v>
      </c>
      <c r="B16" s="9" t="n">
        <v>60</v>
      </c>
      <c r="C16" s="10" t="n">
        <v>1</v>
      </c>
      <c r="D16" s="11" t="n">
        <v>820</v>
      </c>
      <c r="E16" s="12" t="n">
        <f aca="false">IF(OR(D16="",C16=""),"",D16/C16)</f>
        <v>820</v>
      </c>
      <c r="F16" s="13" t="n">
        <f aca="false">IF(E16="","",E16/1000)</f>
        <v>0.82</v>
      </c>
      <c r="G16" s="14" t="n">
        <f aca="false">IF(OR(B16="",E16=""),"",E16/B16)</f>
        <v>13.6666666666667</v>
      </c>
      <c r="H16" s="12" t="n">
        <f aca="false">IF(B16="","",B16*13.6)</f>
        <v>816</v>
      </c>
      <c r="I16" s="15" t="n">
        <f aca="false">IF(OR(G16="",E16=""),"",((G16-13.6)/13.6)*100)</f>
        <v>0.490196078431371</v>
      </c>
      <c r="J16" s="16" t="str">
        <f aca="false">IF(E16="","-",IF(ABS(I16)&lt;=10,"OK","REVISAR"))</f>
        <v>OK</v>
      </c>
    </row>
    <row r="17" customFormat="false" ht="15" hidden="false" customHeight="false" outlineLevel="0" collapsed="false">
      <c r="A17" s="8" t="n">
        <v>6</v>
      </c>
      <c r="B17" s="9" t="n">
        <v>70</v>
      </c>
      <c r="C17" s="10" t="n">
        <v>1</v>
      </c>
      <c r="D17" s="11" t="n">
        <v>915</v>
      </c>
      <c r="E17" s="12" t="n">
        <f aca="false">IF(OR(D17="",C17=""),"",D17/C17)</f>
        <v>915</v>
      </c>
      <c r="F17" s="13" t="n">
        <f aca="false">IF(E17="","",E17/1000)</f>
        <v>0.915</v>
      </c>
      <c r="G17" s="14" t="n">
        <f aca="false">IF(OR(B17="",E17=""),"",E17/B17)</f>
        <v>13.0714285714286</v>
      </c>
      <c r="H17" s="12" t="n">
        <f aca="false">IF(B17="","",B17*13.6)</f>
        <v>952</v>
      </c>
      <c r="I17" s="15" t="n">
        <f aca="false">IF(OR(G17="",E17=""),"",((G17-13.6)/13.6)*100)</f>
        <v>-3.88655462184874</v>
      </c>
      <c r="J17" s="16" t="str">
        <f aca="false">IF(E17="","-",IF(ABS(I17)&lt;=10,"OK","REVISAR"))</f>
        <v>OK</v>
      </c>
    </row>
    <row r="18" customFormat="false" ht="15" hidden="false" customHeight="false" outlineLevel="0" collapsed="false">
      <c r="A18" s="8" t="n">
        <v>7</v>
      </c>
      <c r="B18" s="9" t="n">
        <v>80</v>
      </c>
      <c r="C18" s="10" t="n">
        <v>0.5</v>
      </c>
      <c r="D18" s="11" t="n">
        <v>480</v>
      </c>
      <c r="E18" s="12" t="n">
        <f aca="false">IF(OR(D18="",C18=""),"",D18/C18)</f>
        <v>960</v>
      </c>
      <c r="F18" s="13" t="n">
        <f aca="false">IF(E18="","",E18/1000)</f>
        <v>0.96</v>
      </c>
      <c r="G18" s="14" t="n">
        <f aca="false">IF(OR(B18="",E18=""),"",E18/B18)</f>
        <v>12</v>
      </c>
      <c r="H18" s="12" t="n">
        <f aca="false">IF(B18="","",B18*13.6)</f>
        <v>1088</v>
      </c>
      <c r="I18" s="15" t="n">
        <f aca="false">IF(OR(G18="",E18=""),"",((G18-13.6)/13.6)*100)</f>
        <v>-11.7647058823529</v>
      </c>
      <c r="J18" s="16" t="str">
        <f aca="false">IF(E18="","-",IF(ABS(I18)&lt;=10,"OK","REVISAR"))</f>
        <v>REVISAR</v>
      </c>
    </row>
    <row r="19" customFormat="false" ht="15" hidden="false" customHeight="false" outlineLevel="0" collapsed="false">
      <c r="A19" s="8" t="n">
        <v>8</v>
      </c>
      <c r="B19" s="9" t="n">
        <v>90</v>
      </c>
      <c r="C19" s="10" t="n">
        <v>0.5</v>
      </c>
      <c r="D19" s="11" t="n">
        <v>540</v>
      </c>
      <c r="E19" s="12" t="n">
        <f aca="false">IF(OR(D19="",C19=""),"",D19/C19)</f>
        <v>1080</v>
      </c>
      <c r="F19" s="13" t="n">
        <f aca="false">IF(E19="","",E19/1000)</f>
        <v>1.08</v>
      </c>
      <c r="G19" s="14" t="n">
        <f aca="false">IF(OR(B19="",E19=""),"",E19/B19)</f>
        <v>12</v>
      </c>
      <c r="H19" s="12" t="n">
        <f aca="false">IF(B19="","",B19*13.6)</f>
        <v>1224</v>
      </c>
      <c r="I19" s="15" t="n">
        <f aca="false">IF(OR(G19="",E19=""),"",((G19-13.6)/13.6)*100)</f>
        <v>-11.7647058823529</v>
      </c>
      <c r="J19" s="16" t="str">
        <f aca="false">IF(E19="","-",IF(ABS(I19)&lt;=10,"OK","REVISAR"))</f>
        <v>REVISAR</v>
      </c>
    </row>
    <row r="21" customFormat="false" ht="15" hidden="false" customHeight="true" outlineLevel="0" collapsed="false">
      <c r="A21" s="17" t="s">
        <v>30</v>
      </c>
      <c r="B21" s="17"/>
      <c r="C21" s="17"/>
      <c r="D21" s="17"/>
      <c r="E21" s="17"/>
      <c r="F21" s="17"/>
      <c r="G21" s="17"/>
    </row>
    <row r="22" customFormat="false" ht="15" hidden="false" customHeight="false" outlineLevel="0" collapsed="false">
      <c r="A22" s="18" t="s">
        <v>31</v>
      </c>
      <c r="B22" s="18"/>
      <c r="C22" s="19" t="n">
        <f aca="false">AVERAGE(G12:G19)</f>
        <v>13.5495535714286</v>
      </c>
      <c r="D22" s="20" t="s">
        <v>32</v>
      </c>
      <c r="E22" s="21"/>
      <c r="F22" s="21"/>
      <c r="G22" s="21"/>
    </row>
    <row r="23" customFormat="false" ht="15" hidden="false" customHeight="false" outlineLevel="0" collapsed="false">
      <c r="A23" s="18" t="s">
        <v>33</v>
      </c>
      <c r="B23" s="18"/>
      <c r="C23" s="19" t="n">
        <f aca="false">STDEV(G12:G19)</f>
        <v>1.10044641850993</v>
      </c>
      <c r="D23" s="20" t="s">
        <v>32</v>
      </c>
      <c r="E23" s="21"/>
      <c r="F23" s="21"/>
      <c r="G23" s="21"/>
    </row>
    <row r="24" customFormat="false" ht="15" hidden="false" customHeight="false" outlineLevel="0" collapsed="false">
      <c r="A24" s="18" t="s">
        <v>34</v>
      </c>
      <c r="B24" s="18"/>
      <c r="C24" s="22" t="n">
        <f aca="false">(C23/C22)*100</f>
        <v>8.12164336417993</v>
      </c>
      <c r="D24" s="20" t="s">
        <v>35</v>
      </c>
      <c r="E24" s="21"/>
      <c r="F24" s="21"/>
      <c r="G24" s="21"/>
    </row>
    <row r="25" customFormat="false" ht="15" hidden="false" customHeight="false" outlineLevel="0" collapsed="false">
      <c r="A25" s="18" t="s">
        <v>36</v>
      </c>
      <c r="B25" s="18"/>
      <c r="C25" s="19" t="n">
        <f aca="false">SLOPE(E12:E19,B12:B19)</f>
        <v>11.0761904761905</v>
      </c>
      <c r="D25" s="20" t="s">
        <v>32</v>
      </c>
      <c r="E25" s="21"/>
      <c r="F25" s="21"/>
      <c r="G25" s="21"/>
    </row>
    <row r="26" customFormat="false" ht="15" hidden="false" customHeight="false" outlineLevel="0" collapsed="false">
      <c r="A26" s="18" t="s">
        <v>37</v>
      </c>
      <c r="B26" s="18"/>
      <c r="C26" s="22" t="n">
        <f aca="false">INTERCEPT(E12:E19,B12:B19)</f>
        <v>116.059523809524</v>
      </c>
      <c r="D26" s="20" t="s">
        <v>38</v>
      </c>
      <c r="E26" s="21"/>
      <c r="F26" s="21"/>
      <c r="G26" s="21"/>
    </row>
    <row r="27" customFormat="false" ht="15" hidden="false" customHeight="false" outlineLevel="0" collapsed="false">
      <c r="A27" s="18" t="s">
        <v>39</v>
      </c>
      <c r="B27" s="18"/>
      <c r="C27" s="19" t="n">
        <f aca="false">RSQ(E12:E19,B12:B19)</f>
        <v>0.976187341183121</v>
      </c>
      <c r="D27" s="20" t="s">
        <v>40</v>
      </c>
      <c r="E27" s="21"/>
      <c r="F27" s="21"/>
      <c r="G27" s="21"/>
    </row>
    <row r="29" customFormat="false" ht="15" hidden="false" customHeight="true" outlineLevel="0" collapsed="false">
      <c r="A29" s="23" t="s">
        <v>41</v>
      </c>
      <c r="B29" s="23"/>
      <c r="C29" s="23"/>
      <c r="D29" s="23"/>
      <c r="E29" s="23"/>
      <c r="F29" s="23"/>
      <c r="G29" s="23"/>
    </row>
    <row r="30" customFormat="false" ht="15" hidden="false" customHeight="true" outlineLevel="0" collapsed="false">
      <c r="A30" s="23" t="s">
        <v>42</v>
      </c>
      <c r="B30" s="23"/>
      <c r="C30" s="23"/>
      <c r="D30" s="23"/>
      <c r="E30" s="23"/>
      <c r="F30" s="24" t="n">
        <f aca="false">C22</f>
        <v>13.5495535714286</v>
      </c>
      <c r="G30" s="24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4"/>
      <c r="G31" s="24"/>
    </row>
    <row r="32" customFormat="false" ht="15" hidden="false" customHeight="true" outlineLevel="0" collapsed="false">
      <c r="A32" s="25" t="s">
        <v>43</v>
      </c>
      <c r="B32" s="25"/>
      <c r="C32" s="25"/>
      <c r="D32" s="25"/>
      <c r="E32" s="25"/>
      <c r="F32" s="25"/>
      <c r="G32" s="25"/>
    </row>
  </sheetData>
  <mergeCells count="23">
    <mergeCell ref="A1:J1"/>
    <mergeCell ref="A2:J2"/>
    <mergeCell ref="A3:J3"/>
    <mergeCell ref="B5:D5"/>
    <mergeCell ref="F5:J5"/>
    <mergeCell ref="B6:D6"/>
    <mergeCell ref="F6:J6"/>
    <mergeCell ref="B7:D7"/>
    <mergeCell ref="F7:J7"/>
    <mergeCell ref="B8:D8"/>
    <mergeCell ref="F8:J8"/>
    <mergeCell ref="A9:J9"/>
    <mergeCell ref="A21:G21"/>
    <mergeCell ref="A22:B22"/>
    <mergeCell ref="A23:B23"/>
    <mergeCell ref="A24:B24"/>
    <mergeCell ref="A25:B25"/>
    <mergeCell ref="A26:B26"/>
    <mergeCell ref="A27:B27"/>
    <mergeCell ref="A29:G29"/>
    <mergeCell ref="A30:E31"/>
    <mergeCell ref="F30:G31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5"/>
    <col collapsed="false" customWidth="true" hidden="false" outlineLevel="0" max="12" min="12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3" t="s">
        <v>45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15" hidden="false" customHeight="false" outlineLevel="0" collapsed="false">
      <c r="A5" s="4" t="s">
        <v>46</v>
      </c>
      <c r="B5" s="5" t="s">
        <v>47</v>
      </c>
      <c r="C5" s="5"/>
      <c r="D5" s="5"/>
      <c r="E5" s="5"/>
      <c r="F5" s="4" t="s">
        <v>48</v>
      </c>
      <c r="G5" s="5" t="s">
        <v>49</v>
      </c>
      <c r="H5" s="5"/>
      <c r="I5" s="5"/>
      <c r="J5" s="5"/>
      <c r="K5" s="5"/>
      <c r="L5" s="5"/>
    </row>
    <row r="6" customFormat="false" ht="15" hidden="false" customHeight="false" outlineLevel="0" collapsed="false">
      <c r="A6" s="4" t="s">
        <v>50</v>
      </c>
      <c r="B6" s="5" t="s">
        <v>51</v>
      </c>
      <c r="C6" s="5"/>
      <c r="D6" s="5"/>
      <c r="E6" s="5"/>
      <c r="F6" s="4" t="s">
        <v>52</v>
      </c>
      <c r="G6" s="5" t="s">
        <v>53</v>
      </c>
      <c r="H6" s="5"/>
      <c r="I6" s="5"/>
      <c r="J6" s="5"/>
      <c r="K6" s="5"/>
      <c r="L6" s="5"/>
    </row>
    <row r="7" customFormat="false" ht="15" hidden="false" customHeight="false" outlineLevel="0" collapsed="false">
      <c r="A7" s="4" t="s">
        <v>54</v>
      </c>
      <c r="B7" s="5" t="s">
        <v>55</v>
      </c>
      <c r="C7" s="5"/>
      <c r="D7" s="5"/>
      <c r="E7" s="5"/>
      <c r="F7" s="4" t="s">
        <v>56</v>
      </c>
      <c r="G7" s="5" t="s">
        <v>57</v>
      </c>
      <c r="H7" s="5"/>
      <c r="I7" s="5"/>
      <c r="J7" s="5"/>
      <c r="K7" s="5"/>
      <c r="L7" s="5"/>
    </row>
    <row r="8" customFormat="false" ht="15" hidden="false" customHeight="false" outlineLevel="0" collapsed="false">
      <c r="A8" s="4" t="s">
        <v>15</v>
      </c>
      <c r="B8" s="5" t="s">
        <v>16</v>
      </c>
      <c r="C8" s="5"/>
      <c r="D8" s="5"/>
      <c r="E8" s="5"/>
      <c r="F8" s="4" t="s">
        <v>58</v>
      </c>
      <c r="G8" s="5" t="s">
        <v>59</v>
      </c>
      <c r="H8" s="5"/>
      <c r="I8" s="5"/>
      <c r="J8" s="5"/>
      <c r="K8" s="5"/>
      <c r="L8" s="5"/>
    </row>
    <row r="9" customFormat="false" ht="15" hidden="false" customHeight="false" outlineLevel="0" collapsed="false">
      <c r="A9" s="6" t="s">
        <v>60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1" customFormat="false" ht="15" hidden="false" customHeight="false" outlineLevel="0" collapsed="false">
      <c r="A11" s="7" t="s">
        <v>20</v>
      </c>
      <c r="B11" s="7" t="s">
        <v>21</v>
      </c>
      <c r="C11" s="7" t="s">
        <v>61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62</v>
      </c>
      <c r="I11" s="7" t="s">
        <v>63</v>
      </c>
      <c r="J11" s="7" t="s">
        <v>64</v>
      </c>
      <c r="K11" s="7" t="s">
        <v>65</v>
      </c>
      <c r="L11" s="7" t="s">
        <v>66</v>
      </c>
    </row>
    <row r="12" customFormat="false" ht="15" hidden="false" customHeight="false" outlineLevel="0" collapsed="false">
      <c r="A12" s="8" t="n">
        <v>1</v>
      </c>
      <c r="B12" s="9" t="n">
        <v>20</v>
      </c>
      <c r="C12" s="26" t="n">
        <v>60</v>
      </c>
      <c r="D12" s="10" t="n">
        <v>1</v>
      </c>
      <c r="E12" s="11" t="n">
        <v>280</v>
      </c>
      <c r="F12" s="12" t="n">
        <f aca="false">IF(OR(E12="",D12=""),"",E12/D12)</f>
        <v>280</v>
      </c>
      <c r="G12" s="13" t="n">
        <f aca="false">IF(F12="","",F12/1000)</f>
        <v>0.28</v>
      </c>
      <c r="H12" s="27" t="n">
        <f aca="false">IF(OR(C12="",G12=""),"",C12/G12)</f>
        <v>214.285714285714</v>
      </c>
      <c r="I12" s="12" t="n">
        <f aca="false">IF(H12="","",H12*60)</f>
        <v>12857.1428571429</v>
      </c>
      <c r="J12" s="12" t="n">
        <f aca="false">IF(C12="","",(C12*1000)/$C$22)</f>
        <v>291.283744370899</v>
      </c>
      <c r="K12" s="15" t="n">
        <f aca="false">IF(OR(F12="",J12=""),"",((J12-F12)/F12)*100)</f>
        <v>4.02990870389262</v>
      </c>
      <c r="L12" s="16" t="str">
        <f aca="false">IF(F12="","-",IF(ABS(K12)&lt;=5,"EXCELENTE",IF(ABS(K12)&lt;=12,"BUENA","DESVIADA")))</f>
        <v>EXCELENTE</v>
      </c>
    </row>
    <row r="13" customFormat="false" ht="15" hidden="false" customHeight="false" outlineLevel="0" collapsed="false">
      <c r="A13" s="8" t="n">
        <v>2</v>
      </c>
      <c r="B13" s="9" t="n">
        <v>30</v>
      </c>
      <c r="C13" s="26" t="n">
        <v>100</v>
      </c>
      <c r="D13" s="10" t="n">
        <v>1</v>
      </c>
      <c r="E13" s="11" t="n">
        <v>430</v>
      </c>
      <c r="F13" s="12" t="n">
        <f aca="false">IF(OR(E13="",D13=""),"",E13/D13)</f>
        <v>430</v>
      </c>
      <c r="G13" s="13" t="n">
        <f aca="false">IF(F13="","",F13/1000)</f>
        <v>0.43</v>
      </c>
      <c r="H13" s="27" t="n">
        <f aca="false">IF(OR(C13="",G13=""),"",C13/G13)</f>
        <v>232.558139534884</v>
      </c>
      <c r="I13" s="12" t="n">
        <f aca="false">IF(H13="","",H13*60)</f>
        <v>13953.488372093</v>
      </c>
      <c r="J13" s="12" t="n">
        <f aca="false">IF(C13="","",(C13*1000)/$C$22)</f>
        <v>485.472907284832</v>
      </c>
      <c r="K13" s="15" t="n">
        <f aca="false">IF(OR(F13="",J13=""),"",((J13-F13)/F13)*100)</f>
        <v>12.9006761127517</v>
      </c>
      <c r="L13" s="16" t="str">
        <f aca="false">IF(F13="","-",IF(ABS(K13)&lt;=5,"EXCELENTE",IF(ABS(K13)&lt;=12,"BUENA","DESVIADA")))</f>
        <v>DESVIADA</v>
      </c>
    </row>
    <row r="14" customFormat="false" ht="15" hidden="false" customHeight="false" outlineLevel="0" collapsed="false">
      <c r="A14" s="8" t="n">
        <v>3</v>
      </c>
      <c r="B14" s="9" t="n">
        <v>40</v>
      </c>
      <c r="C14" s="26" t="n">
        <v>130</v>
      </c>
      <c r="D14" s="10" t="n">
        <v>1</v>
      </c>
      <c r="E14" s="11" t="n">
        <v>597</v>
      </c>
      <c r="F14" s="12" t="n">
        <f aca="false">IF(OR(E14="",D14=""),"",E14/D14)</f>
        <v>597</v>
      </c>
      <c r="G14" s="13" t="n">
        <f aca="false">IF(F14="","",F14/1000)</f>
        <v>0.597</v>
      </c>
      <c r="H14" s="27" t="n">
        <f aca="false">IF(OR(C14="",G14=""),"",C14/G14)</f>
        <v>217.755443886097</v>
      </c>
      <c r="I14" s="12" t="n">
        <f aca="false">IF(H14="","",H14*60)</f>
        <v>13065.3266331658</v>
      </c>
      <c r="J14" s="12" t="n">
        <f aca="false">IF(C14="","",(C14*1000)/$C$22)</f>
        <v>631.114779470282</v>
      </c>
      <c r="K14" s="15" t="n">
        <f aca="false">IF(OR(F14="",J14=""),"",((J14-F14)/F14)*100)</f>
        <v>5.71436842048272</v>
      </c>
      <c r="L14" s="16" t="str">
        <f aca="false">IF(F14="","-",IF(ABS(K14)&lt;=5,"EXCELENTE",IF(ABS(K14)&lt;=12,"BUENA","DESVIADA")))</f>
        <v>BUENA</v>
      </c>
    </row>
    <row r="15" customFormat="false" ht="15" hidden="false" customHeight="false" outlineLevel="0" collapsed="false">
      <c r="A15" s="8" t="n">
        <v>4</v>
      </c>
      <c r="B15" s="9" t="n">
        <v>50</v>
      </c>
      <c r="C15" s="26" t="n">
        <v>150</v>
      </c>
      <c r="D15" s="10" t="n">
        <v>1</v>
      </c>
      <c r="E15" s="11" t="n">
        <v>720</v>
      </c>
      <c r="F15" s="12" t="n">
        <f aca="false">IF(OR(E15="",D15=""),"",E15/D15)</f>
        <v>720</v>
      </c>
      <c r="G15" s="13" t="n">
        <f aca="false">IF(F15="","",F15/1000)</f>
        <v>0.72</v>
      </c>
      <c r="H15" s="27" t="n">
        <f aca="false">IF(OR(C15="",G15=""),"",C15/G15)</f>
        <v>208.333333333333</v>
      </c>
      <c r="I15" s="12" t="n">
        <f aca="false">IF(H15="","",H15*60)</f>
        <v>12500</v>
      </c>
      <c r="J15" s="12" t="n">
        <f aca="false">IF(C15="","",(C15*1000)/$C$22)</f>
        <v>728.209360927248</v>
      </c>
      <c r="K15" s="15" t="n">
        <f aca="false">IF(OR(F15="",J15=""),"",((J15-F15)/F15)*100)</f>
        <v>1.14018901767338</v>
      </c>
      <c r="L15" s="16" t="str">
        <f aca="false">IF(F15="","-",IF(ABS(K15)&lt;=5,"EXCELENTE",IF(ABS(K15)&lt;=12,"BUENA","DESVIADA")))</f>
        <v>EXCELENTE</v>
      </c>
    </row>
    <row r="16" customFormat="false" ht="15" hidden="false" customHeight="false" outlineLevel="0" collapsed="false">
      <c r="A16" s="8" t="n">
        <v>5</v>
      </c>
      <c r="B16" s="9" t="n">
        <v>60</v>
      </c>
      <c r="C16" s="26" t="n">
        <v>160</v>
      </c>
      <c r="D16" s="10" t="n">
        <v>1</v>
      </c>
      <c r="E16" s="11" t="n">
        <v>820</v>
      </c>
      <c r="F16" s="12" t="n">
        <f aca="false">IF(OR(E16="",D16=""),"",E16/D16)</f>
        <v>820</v>
      </c>
      <c r="G16" s="13" t="n">
        <f aca="false">IF(F16="","",F16/1000)</f>
        <v>0.82</v>
      </c>
      <c r="H16" s="27" t="n">
        <f aca="false">IF(OR(C16="",G16=""),"",C16/G16)</f>
        <v>195.121951219512</v>
      </c>
      <c r="I16" s="12" t="n">
        <f aca="false">IF(H16="","",H16*60)</f>
        <v>11707.3170731707</v>
      </c>
      <c r="J16" s="12" t="n">
        <f aca="false">IF(C16="","",(C16*1000)/$C$22)</f>
        <v>776.756651655732</v>
      </c>
      <c r="K16" s="15" t="n">
        <f aca="false">IF(OR(F16="",J16=""),"",((J16-F16)/F16)*100)</f>
        <v>-5.27357906637421</v>
      </c>
      <c r="L16" s="16" t="str">
        <f aca="false">IF(F16="","-",IF(ABS(K16)&lt;=5,"EXCELENTE",IF(ABS(K16)&lt;=12,"BUENA","DESVIADA")))</f>
        <v>BUENA</v>
      </c>
    </row>
    <row r="17" customFormat="false" ht="15" hidden="false" customHeight="false" outlineLevel="0" collapsed="false">
      <c r="A17" s="8" t="n">
        <v>6</v>
      </c>
      <c r="B17" s="9" t="n">
        <v>70</v>
      </c>
      <c r="C17" s="26" t="n">
        <v>180</v>
      </c>
      <c r="D17" s="10" t="n">
        <v>1</v>
      </c>
      <c r="E17" s="11" t="n">
        <v>915</v>
      </c>
      <c r="F17" s="12" t="n">
        <f aca="false">IF(OR(E17="",D17=""),"",E17/D17)</f>
        <v>915</v>
      </c>
      <c r="G17" s="13" t="n">
        <f aca="false">IF(F17="","",F17/1000)</f>
        <v>0.915</v>
      </c>
      <c r="H17" s="27" t="n">
        <f aca="false">IF(OR(C17="",G17=""),"",C17/G17)</f>
        <v>196.72131147541</v>
      </c>
      <c r="I17" s="12" t="n">
        <f aca="false">IF(H17="","",H17*60)</f>
        <v>11803.2786885246</v>
      </c>
      <c r="J17" s="12" t="n">
        <f aca="false">IF(C17="","",(C17*1000)/$C$22)</f>
        <v>873.851233112698</v>
      </c>
      <c r="K17" s="15" t="n">
        <f aca="false">IF(OR(F17="",J17=""),"",((J17-F17)/F17)*100)</f>
        <v>-4.49713299314776</v>
      </c>
      <c r="L17" s="16" t="str">
        <f aca="false">IF(F17="","-",IF(ABS(K17)&lt;=5,"EXCELENTE",IF(ABS(K17)&lt;=12,"BUENA","DESVIADA")))</f>
        <v>EXCELENTE</v>
      </c>
    </row>
    <row r="18" customFormat="false" ht="15" hidden="false" customHeight="false" outlineLevel="0" collapsed="false">
      <c r="A18" s="8" t="n">
        <v>7</v>
      </c>
      <c r="B18" s="9" t="n">
        <v>80</v>
      </c>
      <c r="C18" s="26" t="n">
        <v>190</v>
      </c>
      <c r="D18" s="10" t="n">
        <v>0.5</v>
      </c>
      <c r="E18" s="11" t="n">
        <v>480</v>
      </c>
      <c r="F18" s="12" t="n">
        <f aca="false">IF(OR(E18="",D18=""),"",E18/D18)</f>
        <v>960</v>
      </c>
      <c r="G18" s="13" t="n">
        <f aca="false">IF(F18="","",F18/1000)</f>
        <v>0.96</v>
      </c>
      <c r="H18" s="27" t="n">
        <f aca="false">IF(OR(C18="",G18=""),"",C18/G18)</f>
        <v>197.916666666667</v>
      </c>
      <c r="I18" s="12" t="n">
        <f aca="false">IF(H18="","",H18*60)</f>
        <v>11875</v>
      </c>
      <c r="J18" s="12" t="n">
        <f aca="false">IF(C18="","",(C18*1000)/$C$22)</f>
        <v>922.398523841181</v>
      </c>
      <c r="K18" s="15" t="n">
        <f aca="false">IF(OR(F18="",J18=""),"",((J18-F18)/F18)*100)</f>
        <v>-3.9168204332103</v>
      </c>
      <c r="L18" s="16" t="str">
        <f aca="false">IF(F18="","-",IF(ABS(K18)&lt;=5,"EXCELENTE",IF(ABS(K18)&lt;=12,"BUENA","DESVIADA")))</f>
        <v>EXCELENTE</v>
      </c>
    </row>
    <row r="19" customFormat="false" ht="15" hidden="false" customHeight="false" outlineLevel="0" collapsed="false">
      <c r="A19" s="8" t="n">
        <v>8</v>
      </c>
      <c r="B19" s="9" t="n">
        <v>90</v>
      </c>
      <c r="C19" s="26" t="n">
        <v>200</v>
      </c>
      <c r="D19" s="10" t="n">
        <v>0.5</v>
      </c>
      <c r="E19" s="11" t="n">
        <v>540</v>
      </c>
      <c r="F19" s="12" t="n">
        <f aca="false">IF(OR(E19="",D19=""),"",E19/D19)</f>
        <v>1080</v>
      </c>
      <c r="G19" s="13" t="n">
        <f aca="false">IF(F19="","",F19/1000)</f>
        <v>1.08</v>
      </c>
      <c r="H19" s="27" t="n">
        <f aca="false">IF(OR(C19="",G19=""),"",C19/G19)</f>
        <v>185.185185185185</v>
      </c>
      <c r="I19" s="12" t="n">
        <f aca="false">IF(H19="","",H19*60)</f>
        <v>11111.1111111111</v>
      </c>
      <c r="J19" s="12" t="n">
        <f aca="false">IF(C19="","",(C19*1000)/$C$22)</f>
        <v>970.945814569664</v>
      </c>
      <c r="K19" s="15" t="n">
        <f aca="false">IF(OR(F19="",J19=""),"",((J19-F19)/F19)*100)</f>
        <v>-10.0976097620681</v>
      </c>
      <c r="L19" s="16" t="str">
        <f aca="false">IF(F19="","-",IF(ABS(K19)&lt;=5,"EXCELENTE",IF(ABS(K19)&lt;=12,"BUENA","DESVIADA")))</f>
        <v>BUENA</v>
      </c>
    </row>
    <row r="21" customFormat="false" ht="15" hidden="false" customHeight="true" outlineLevel="0" collapsed="false">
      <c r="A21" s="17" t="s">
        <v>67</v>
      </c>
      <c r="B21" s="17"/>
      <c r="C21" s="17"/>
      <c r="D21" s="17"/>
      <c r="E21" s="17"/>
      <c r="F21" s="17"/>
      <c r="G21" s="17"/>
    </row>
    <row r="22" customFormat="false" ht="15" hidden="false" customHeight="false" outlineLevel="0" collapsed="false">
      <c r="A22" s="18" t="s">
        <v>68</v>
      </c>
      <c r="B22" s="18"/>
      <c r="C22" s="22" t="n">
        <f aca="false">AVERAGE(H12:H19)</f>
        <v>205.98471819835</v>
      </c>
      <c r="D22" s="20" t="s">
        <v>69</v>
      </c>
      <c r="E22" s="21"/>
      <c r="F22" s="21"/>
      <c r="G22" s="21"/>
    </row>
    <row r="23" customFormat="false" ht="15" hidden="false" customHeight="false" outlineLevel="0" collapsed="false">
      <c r="A23" s="18" t="s">
        <v>70</v>
      </c>
      <c r="B23" s="18"/>
      <c r="C23" s="22" t="n">
        <f aca="false">STDEV(H12:H19)</f>
        <v>15.215798525943</v>
      </c>
      <c r="D23" s="20" t="s">
        <v>69</v>
      </c>
      <c r="E23" s="21"/>
      <c r="F23" s="21"/>
      <c r="G23" s="21"/>
    </row>
    <row r="24" customFormat="false" ht="15" hidden="false" customHeight="false" outlineLevel="0" collapsed="false">
      <c r="A24" s="18" t="s">
        <v>71</v>
      </c>
      <c r="B24" s="18"/>
      <c r="C24" s="22" t="n">
        <f aca="false">(C23/C22)*100</f>
        <v>7.38685794704981</v>
      </c>
      <c r="D24" s="20" t="s">
        <v>35</v>
      </c>
      <c r="E24" s="21"/>
      <c r="F24" s="21"/>
      <c r="G24" s="21"/>
    </row>
    <row r="25" customFormat="false" ht="15" hidden="false" customHeight="false" outlineLevel="0" collapsed="false">
      <c r="A25" s="18" t="s">
        <v>72</v>
      </c>
      <c r="B25" s="18"/>
      <c r="C25" s="28" t="n">
        <f aca="false">AVERAGE(I12:I19)</f>
        <v>12359.083091901</v>
      </c>
      <c r="D25" s="20" t="s">
        <v>73</v>
      </c>
      <c r="E25" s="21"/>
      <c r="F25" s="21"/>
      <c r="G25" s="21"/>
    </row>
    <row r="26" customFormat="false" ht="15" hidden="false" customHeight="false" outlineLevel="0" collapsed="false">
      <c r="A26" s="18" t="s">
        <v>74</v>
      </c>
      <c r="B26" s="18"/>
      <c r="C26" s="22" t="n">
        <f aca="false">SLOPE(C12:C19,G12:G19)</f>
        <v>172.720185437264</v>
      </c>
      <c r="D26" s="20" t="s">
        <v>69</v>
      </c>
      <c r="E26" s="21"/>
      <c r="F26" s="21"/>
      <c r="G26" s="21"/>
    </row>
    <row r="27" customFormat="false" ht="15" hidden="false" customHeight="false" outlineLevel="0" collapsed="false">
      <c r="A27" s="18" t="s">
        <v>75</v>
      </c>
      <c r="B27" s="18"/>
      <c r="C27" s="22" t="n">
        <f aca="false">INTERCEPT(C12:C19,G12:G19)</f>
        <v>20.9846855116244</v>
      </c>
      <c r="D27" s="20" t="s">
        <v>76</v>
      </c>
      <c r="E27" s="21"/>
      <c r="F27" s="21"/>
      <c r="G27" s="21"/>
    </row>
    <row r="28" customFormat="false" ht="15" hidden="false" customHeight="false" outlineLevel="0" collapsed="false">
      <c r="A28" s="18" t="s">
        <v>39</v>
      </c>
      <c r="B28" s="18"/>
      <c r="C28" s="19" t="n">
        <f aca="false">RSQ(C12:C19,G12:G19)</f>
        <v>0.984923690749132</v>
      </c>
      <c r="D28" s="20" t="s">
        <v>40</v>
      </c>
      <c r="E28" s="21"/>
      <c r="F28" s="21"/>
      <c r="G28" s="21"/>
    </row>
    <row r="30" customFormat="false" ht="15" hidden="false" customHeight="true" outlineLevel="0" collapsed="false">
      <c r="A30" s="23" t="s">
        <v>77</v>
      </c>
      <c r="B30" s="23"/>
      <c r="C30" s="23"/>
      <c r="D30" s="23"/>
      <c r="E30" s="23"/>
      <c r="F30" s="23"/>
      <c r="G30" s="23"/>
    </row>
    <row r="31" customFormat="false" ht="15" hidden="false" customHeight="false" outlineLevel="0" collapsed="false">
      <c r="A31" s="29" t="s">
        <v>78</v>
      </c>
      <c r="B31" s="29"/>
      <c r="C31" s="29"/>
      <c r="D31" s="29"/>
      <c r="E31" s="30" t="n">
        <f aca="false">C22</f>
        <v>205.98471819835</v>
      </c>
      <c r="F31" s="30"/>
      <c r="G31" s="30"/>
    </row>
    <row r="32" customFormat="false" ht="15" hidden="false" customHeight="false" outlineLevel="0" collapsed="false">
      <c r="A32" s="29" t="s">
        <v>79</v>
      </c>
      <c r="B32" s="29"/>
      <c r="C32" s="29"/>
      <c r="D32" s="29"/>
      <c r="E32" s="31" t="n">
        <f aca="false">E31*60</f>
        <v>12359.083091901</v>
      </c>
      <c r="F32" s="31"/>
      <c r="G32" s="31"/>
    </row>
    <row r="33" customFormat="false" ht="15" hidden="false" customHeight="true" outlineLevel="0" collapsed="false">
      <c r="A33" s="25" t="s">
        <v>80</v>
      </c>
      <c r="B33" s="25"/>
      <c r="C33" s="25"/>
      <c r="D33" s="25"/>
      <c r="E33" s="25"/>
      <c r="F33" s="25"/>
      <c r="G33" s="25"/>
    </row>
  </sheetData>
  <mergeCells count="26">
    <mergeCell ref="A1:L1"/>
    <mergeCell ref="A2:L2"/>
    <mergeCell ref="A3:L3"/>
    <mergeCell ref="B5:E5"/>
    <mergeCell ref="G5:L5"/>
    <mergeCell ref="B6:E6"/>
    <mergeCell ref="G6:L6"/>
    <mergeCell ref="B7:E7"/>
    <mergeCell ref="G7:L7"/>
    <mergeCell ref="B8:E8"/>
    <mergeCell ref="G8:L8"/>
    <mergeCell ref="A9:L9"/>
    <mergeCell ref="A21:G21"/>
    <mergeCell ref="A22:B22"/>
    <mergeCell ref="A23:B23"/>
    <mergeCell ref="A24:B24"/>
    <mergeCell ref="A25:B25"/>
    <mergeCell ref="A26:B26"/>
    <mergeCell ref="A27:B27"/>
    <mergeCell ref="A28:B28"/>
    <mergeCell ref="A30:G30"/>
    <mergeCell ref="A31:D31"/>
    <mergeCell ref="E31:G31"/>
    <mergeCell ref="A32:D32"/>
    <mergeCell ref="E32:G32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2026-10-02T17:06:35Z</dcterms:created>
  <dc:creator>openpyxl</dc:creator>
  <dc:description/>
  <dc:language>en-US</dc:language>
  <cp:lastModifiedBy/>
  <dcterms:modified xsi:type="dcterms:W3CDTF">2026-10-14T02:37:31Z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