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Jar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24" customWidth="1" min="4" max="4"/>
    <col width="18" customWidth="1" min="5" max="5"/>
    <col width="24" customWidth="1" min="6" max="6"/>
    <col width="25" customWidth="1" min="7" max="7"/>
    <col width="27" customWidth="1" min="8" max="8"/>
    <col width="31" customWidth="1" min="9" max="9"/>
    <col width="13" customWidth="1" min="10" max="10"/>
    <col width="12" customWidth="1" min="11" max="11"/>
    <col width="21" customWidth="1" min="12" max="12"/>
    <col width="31" customWidth="1" min="13" max="13"/>
    <col width="42" customWidth="1" min="14" max="14"/>
  </cols>
  <sheetData>
    <row r="1">
      <c r="A1" s="1" t="inlineStr">
        <is>
          <t>XXIX CoNEIQ Salta 2026 — Taller de Tratamiento de Aguas</t>
        </is>
      </c>
    </row>
    <row r="2">
      <c r="A2" s="2" t="inlineStr">
        <is>
          <t>Planilla Colaborativa en Vivo: Jar Test en Vasos de 1000 mL (1 L) — 30 Inscriptos (5 Brigadas + Docentes)</t>
        </is>
      </c>
    </row>
    <row r="3"/>
    <row r="4">
      <c r="A4" s="3" t="inlineStr">
        <is>
          <t>Asignación</t>
        </is>
      </c>
      <c r="B4" s="3" t="inlineStr">
        <is>
          <t>Vaso</t>
        </is>
      </c>
      <c r="C4" s="3" t="inlineStr">
        <is>
          <t>Matriz Acuosa (1 L)</t>
        </is>
      </c>
      <c r="D4" s="3" t="inlineStr">
        <is>
          <t>Tratamiento / Coagulante</t>
        </is>
      </c>
      <c r="E4" s="3" t="inlineStr">
        <is>
          <t>Dosis Operativa</t>
        </is>
      </c>
      <c r="F4" s="3" t="inlineStr">
        <is>
          <t>Vol. / Masa Agregada (1 L)</t>
        </is>
      </c>
      <c r="G4" s="3" t="inlineStr">
        <is>
          <t>Turbidez Inicial [NTU]</t>
        </is>
      </c>
      <c r="H4" s="3" t="inlineStr">
        <is>
          <t>Turbidez Final 10m [NTU]</t>
        </is>
      </c>
      <c r="I4" s="3" t="inlineStr">
        <is>
          <t>Remoción Turbidez [%]</t>
        </is>
      </c>
      <c r="J4" s="3" t="inlineStr">
        <is>
          <t>pH Inicial</t>
        </is>
      </c>
      <c r="K4" s="3" t="inlineStr">
        <is>
          <t>pH Final</t>
        </is>
      </c>
      <c r="L4" s="3" t="inlineStr">
        <is>
          <t>Delta pH</t>
        </is>
      </c>
      <c r="M4" s="3" t="inlineStr">
        <is>
          <t>Tamaño de Flóculo (Willcomb)</t>
        </is>
      </c>
      <c r="N4" s="3" t="inlineStr">
        <is>
          <t>Observaciones Pedagógicas</t>
        </is>
      </c>
    </row>
    <row r="5">
      <c r="A5" s="4" t="inlineStr">
        <is>
          <t>Docentes (Control)</t>
        </is>
      </c>
      <c r="B5" s="4" t="inlineStr">
        <is>
          <t>V1</t>
        </is>
      </c>
      <c r="C5" s="5" t="inlineStr">
        <is>
          <t>Alta Turbidez (4 g/L)</t>
        </is>
      </c>
      <c r="D5" s="5" t="inlineStr">
        <is>
          <t>Blanco (Control)</t>
        </is>
      </c>
      <c r="E5" s="4" t="inlineStr">
        <is>
          <t>0 mg/L</t>
        </is>
      </c>
      <c r="F5" s="4" t="inlineStr">
        <is>
          <t>0</t>
        </is>
      </c>
      <c r="G5" s="6" t="n">
        <v>450</v>
      </c>
      <c r="H5" s="6" t="n">
        <v>390</v>
      </c>
      <c r="I5" s="7">
        <f>ROUND((G5-H5)/G5*100, 2)</f>
        <v/>
      </c>
      <c r="J5" s="6" t="n">
        <v>7.6</v>
      </c>
      <c r="K5" s="6" t="n">
        <v>7.6</v>
      </c>
      <c r="L5" s="6">
        <f>ROUND(K5-J5, 2)</f>
        <v/>
      </c>
      <c r="M5" s="5" t="inlineStr">
        <is>
          <t>Nulo / Fino</t>
        </is>
      </c>
      <c r="N5" s="5" t="inlineStr">
        <is>
          <t>Limo grueso decanta, persiste coloidal</t>
        </is>
      </c>
    </row>
    <row r="6">
      <c r="A6" s="4" t="inlineStr">
        <is>
          <t>Brigada 1 (6 alum.)</t>
        </is>
      </c>
      <c r="B6" s="4" t="inlineStr">
        <is>
          <t>V2</t>
        </is>
      </c>
      <c r="C6" s="5" t="inlineStr">
        <is>
          <t>Baja Turbidez (1 g/L)</t>
        </is>
      </c>
      <c r="D6" s="5" t="inlineStr">
        <is>
          <t>Sulfato de Aluminio</t>
        </is>
      </c>
      <c r="E6" s="4" t="inlineStr">
        <is>
          <t>20 mg/L</t>
        </is>
      </c>
      <c r="F6" s="4" t="inlineStr">
        <is>
          <t>2.0 mL stock 1%</t>
        </is>
      </c>
      <c r="G6" s="6" t="n">
        <v>120</v>
      </c>
      <c r="H6" s="6" t="n">
        <v>3.8</v>
      </c>
      <c r="I6" s="7">
        <f>ROUND((G6-H6)/G6*100, 2)</f>
        <v/>
      </c>
      <c r="J6" s="6" t="n">
        <v>7.5</v>
      </c>
      <c r="K6" s="6" t="n">
        <v>6.6</v>
      </c>
      <c r="L6" s="6">
        <f>ROUND(K6-J6, 2)</f>
        <v/>
      </c>
      <c r="M6" s="5" t="inlineStr">
        <is>
          <t>Mediano y compacto</t>
        </is>
      </c>
      <c r="N6" s="5" t="inlineStr">
        <is>
          <t>Clarificación rápida y ácida</t>
        </is>
      </c>
    </row>
    <row r="7">
      <c r="A7" s="4" t="inlineStr">
        <is>
          <t>Brigada 2 (6 alum.)</t>
        </is>
      </c>
      <c r="B7" s="4" t="inlineStr">
        <is>
          <t>V3</t>
        </is>
      </c>
      <c r="C7" s="5" t="inlineStr">
        <is>
          <t>Baja Turbidez (1 g/L)</t>
        </is>
      </c>
      <c r="D7" s="5" t="inlineStr">
        <is>
          <t>Penca (Opuntia)</t>
        </is>
      </c>
      <c r="E7" s="4" t="inlineStr">
        <is>
          <t>0.5 g/L</t>
        </is>
      </c>
      <c r="F7" s="4" t="inlineStr">
        <is>
          <t>0.50 g hidrogel</t>
        </is>
      </c>
      <c r="G7" s="6" t="n">
        <v>120</v>
      </c>
      <c r="H7" s="6" t="n">
        <v>2.9</v>
      </c>
      <c r="I7" s="7">
        <f>ROUND((G7-H7)/G7*100, 2)</f>
        <v/>
      </c>
      <c r="J7" s="6" t="n">
        <v>7.5</v>
      </c>
      <c r="K7" s="6" t="n">
        <v>7.4</v>
      </c>
      <c r="L7" s="6">
        <f>ROUND(K7-J7, 2)</f>
        <v/>
      </c>
      <c r="M7" s="5" t="inlineStr">
        <is>
          <t>Grande filamentoso</t>
        </is>
      </c>
      <c r="N7" s="5" t="inlineStr">
        <is>
          <t>Óptimo biopolímero (&lt;3 NTU, pH neutro)</t>
        </is>
      </c>
    </row>
    <row r="8">
      <c r="A8" s="4" t="inlineStr">
        <is>
          <t>Brigada 3 (6 alum.)</t>
        </is>
      </c>
      <c r="B8" s="4" t="inlineStr">
        <is>
          <t>V4</t>
        </is>
      </c>
      <c r="C8" s="5" t="inlineStr">
        <is>
          <t>Baja Turbidez (1 g/L)</t>
        </is>
      </c>
      <c r="D8" s="5" t="inlineStr">
        <is>
          <t>Penca (SOBREDOSIS)</t>
        </is>
      </c>
      <c r="E8" s="4" t="inlineStr">
        <is>
          <t>1.8 g/L</t>
        </is>
      </c>
      <c r="F8" s="4" t="inlineStr">
        <is>
          <t>1.80 g hidrogel</t>
        </is>
      </c>
      <c r="G8" s="6" t="n">
        <v>120</v>
      </c>
      <c r="H8" s="6" t="n">
        <v>38</v>
      </c>
      <c r="I8" s="8">
        <f>ROUND((G8-H8)/G8*100, 2)</f>
        <v/>
      </c>
      <c r="J8" s="6" t="n">
        <v>7.5</v>
      </c>
      <c r="K8" s="6" t="n">
        <v>7.3</v>
      </c>
      <c r="L8" s="6">
        <f>ROUND(K8-J8, 2)</f>
        <v/>
      </c>
      <c r="M8" s="5" t="inlineStr">
        <is>
          <t>Disperso / Opaco</t>
        </is>
      </c>
      <c r="N8" s="5" t="inlineStr">
        <is>
          <t>¡Reestabilización por impedimento estérico!</t>
        </is>
      </c>
    </row>
    <row r="9">
      <c r="A9" s="4" t="inlineStr">
        <is>
          <t>Brigada 4 (6 alum.)</t>
        </is>
      </c>
      <c r="B9" s="4" t="inlineStr">
        <is>
          <t>V5</t>
        </is>
      </c>
      <c r="C9" s="5" t="inlineStr">
        <is>
          <t>Alta Turbidez (4 g/L)</t>
        </is>
      </c>
      <c r="D9" s="5" t="inlineStr">
        <is>
          <t>Sulfato de Aluminio</t>
        </is>
      </c>
      <c r="E9" s="4" t="inlineStr">
        <is>
          <t>40 mg/L</t>
        </is>
      </c>
      <c r="F9" s="4" t="inlineStr">
        <is>
          <t>4.0 mL stock 1%</t>
        </is>
      </c>
      <c r="G9" s="6" t="n">
        <v>450</v>
      </c>
      <c r="H9" s="6" t="n">
        <v>4.5</v>
      </c>
      <c r="I9" s="7">
        <f>ROUND((G9-H9)/G9*100, 2)</f>
        <v/>
      </c>
      <c r="J9" s="6" t="n">
        <v>7.6</v>
      </c>
      <c r="K9" s="6" t="n">
        <v>6.3</v>
      </c>
      <c r="L9" s="6">
        <f>ROUND(K9-J9, 2)</f>
        <v/>
      </c>
      <c r="M9" s="5" t="inlineStr">
        <is>
          <t>Masivo (barrido)</t>
        </is>
      </c>
      <c r="N9" s="5" t="inlineStr">
        <is>
          <t>Manto voluminoso por barrido Al(OH)3</t>
        </is>
      </c>
    </row>
    <row r="10">
      <c r="A10" s="4" t="inlineStr">
        <is>
          <t>Brigada 5 (6 alum.)</t>
        </is>
      </c>
      <c r="B10" s="4" t="inlineStr">
        <is>
          <t>V6</t>
        </is>
      </c>
      <c r="C10" s="5" t="inlineStr">
        <is>
          <t>Alta Turbidez (4 g/L)</t>
        </is>
      </c>
      <c r="D10" s="5" t="inlineStr">
        <is>
          <t>Penca (Opuntia)</t>
        </is>
      </c>
      <c r="E10" s="4" t="inlineStr">
        <is>
          <t>0.6 g/L</t>
        </is>
      </c>
      <c r="F10" s="4" t="inlineStr">
        <is>
          <t>0.60 g hidrogel</t>
        </is>
      </c>
      <c r="G10" s="6" t="n">
        <v>450</v>
      </c>
      <c r="H10" s="6" t="n">
        <v>4</v>
      </c>
      <c r="I10" s="7">
        <f>ROUND((G10-H10)/G10*100, 2)</f>
        <v/>
      </c>
      <c r="J10" s="6" t="n">
        <v>7.6</v>
      </c>
      <c r="K10" s="6" t="n">
        <v>7.4</v>
      </c>
      <c r="L10" s="6">
        <f>ROUND(K10-J10, 2)</f>
        <v/>
      </c>
      <c r="M10" s="5" t="inlineStr">
        <is>
          <t>Red densa abierta</t>
        </is>
      </c>
      <c r="N10" s="5" t="inlineStr">
        <is>
          <t>Excelente captura de alta carga coloidal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2026-10-20T14:56:10Z</dcterms:created>
  <dcterms:modified xmlns:dcterms="http://purl.org/dc/terms/" xmlns:xsi="http://www.w3.org/2001/XMLSchema-instance" xsi:type="dcterms:W3CDTF">2026-10-20T14:56:10Z</dcterms:modified>
</cp:coreProperties>
</file>